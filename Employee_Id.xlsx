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CER\Documents\"/>
    </mc:Choice>
  </mc:AlternateContent>
  <bookViews>
    <workbookView xWindow="0" yWindow="0" windowWidth="20490" windowHeight="7755" activeTab="2"/>
  </bookViews>
  <sheets>
    <sheet name="Raw Data" sheetId="4" r:id="rId1"/>
    <sheet name="Worksheet" sheetId="1" r:id="rId2"/>
    <sheet name="Pivot Table" sheetId="7" r:id="rId3"/>
    <sheet name="Dashboard" sheetId="9" r:id="rId4"/>
  </sheets>
  <definedNames>
    <definedName name="_xlnm._FilterDatabase" localSheetId="0" hidden="1">'Raw Data'!$A$1:$J$23</definedName>
    <definedName name="_xlnm._FilterDatabase" localSheetId="1" hidden="1">Worksheet!$A$1:$M$21</definedName>
    <definedName name="Main_data" localSheetId="1">Worksheet!$A$1:$M$21</definedName>
    <definedName name="Slicer_Department">#N/A</definedName>
  </definedNames>
  <calcPr calcId="152511"/>
  <pivotCaches>
    <pivotCache cacheId="12" r:id="rId5"/>
    <pivotCache cacheId="13"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 i="1" l="1"/>
  <c r="H6" i="1"/>
  <c r="D2" i="1"/>
  <c r="H2" i="1"/>
  <c r="D9" i="1"/>
  <c r="H9" i="1"/>
  <c r="D21" i="1"/>
  <c r="H21" i="1"/>
  <c r="D5" i="1"/>
  <c r="H5" i="1"/>
  <c r="D4" i="1"/>
  <c r="H4" i="1"/>
  <c r="D3" i="1"/>
  <c r="H3" i="1"/>
  <c r="D17" i="1"/>
  <c r="H17" i="1"/>
  <c r="D8" i="1"/>
  <c r="H8" i="1"/>
  <c r="D18" i="1"/>
  <c r="H18" i="1"/>
  <c r="D11" i="1"/>
  <c r="H11" i="1"/>
  <c r="D19" i="1"/>
  <c r="H19" i="1"/>
  <c r="D16" i="1"/>
  <c r="H16" i="1"/>
  <c r="D15" i="1"/>
  <c r="H15" i="1"/>
  <c r="D12" i="1"/>
  <c r="H12" i="1"/>
  <c r="D20" i="1"/>
  <c r="H20" i="1"/>
  <c r="D14" i="1"/>
  <c r="H14" i="1"/>
  <c r="D13" i="1"/>
  <c r="H13" i="1"/>
  <c r="D10" i="1"/>
  <c r="H10" i="1"/>
  <c r="D7" i="1"/>
  <c r="H7" i="1"/>
</calcChain>
</file>

<file path=xl/connections.xml><?xml version="1.0" encoding="utf-8"?>
<connections xmlns="http://schemas.openxmlformats.org/spreadsheetml/2006/main">
  <connection id="1" name="Main data" type="6" refreshedVersion="5" background="1" saveData="1">
    <textPr codePage="437" sourceFile="C:\Users\ACER\Documents\Main data.csv" tab="0" comma="1">
      <textFields count="10">
        <textField/>
        <textField/>
        <textField/>
        <textField/>
        <textField/>
        <textField/>
        <textField/>
        <textField/>
        <textField/>
        <textField/>
      </textFields>
    </textPr>
  </connection>
</connections>
</file>

<file path=xl/sharedStrings.xml><?xml version="1.0" encoding="utf-8"?>
<sst xmlns="http://schemas.openxmlformats.org/spreadsheetml/2006/main" count="265" uniqueCount="172">
  <si>
    <t>Employee ID</t>
  </si>
  <si>
    <t>Full Name</t>
  </si>
  <si>
    <t>Department</t>
  </si>
  <si>
    <t>Salary</t>
  </si>
  <si>
    <t>Hire Date</t>
  </si>
  <si>
    <t>Birth Date</t>
  </si>
  <si>
    <t>Email</t>
  </si>
  <si>
    <t>Phone</t>
  </si>
  <si>
    <t>Hours Worked</t>
  </si>
  <si>
    <t>Performance Rating</t>
  </si>
  <si>
    <t xml:space="preserve"> John Doe </t>
  </si>
  <si>
    <t>Sales</t>
  </si>
  <si>
    <t>john.doe@email.com</t>
  </si>
  <si>
    <t>123-456-7890</t>
  </si>
  <si>
    <t xml:space="preserve">Larry Page </t>
  </si>
  <si>
    <t xml:space="preserve"> larry.page@google.com</t>
  </si>
  <si>
    <t xml:space="preserve"> 456-789-0123 </t>
  </si>
  <si>
    <t xml:space="preserve">Grace Hopper </t>
  </si>
  <si>
    <t>IT</t>
  </si>
  <si>
    <t>grace.hopper@email.com</t>
  </si>
  <si>
    <t>Jane   Smith</t>
  </si>
  <si>
    <t xml:space="preserve">janesmith@email.com </t>
  </si>
  <si>
    <t>(234) 567-8901</t>
  </si>
  <si>
    <t>Ned Stark</t>
  </si>
  <si>
    <t>Hr</t>
  </si>
  <si>
    <t>ned.stark@winterfell</t>
  </si>
  <si>
    <t>678-901-2345</t>
  </si>
  <si>
    <t>David  Beckham</t>
  </si>
  <si>
    <t xml:space="preserve"> david@beckham.com </t>
  </si>
  <si>
    <t>Sals</t>
  </si>
  <si>
    <t>3,5</t>
  </si>
  <si>
    <t xml:space="preserve">Jack Sparrow </t>
  </si>
  <si>
    <t>sales</t>
  </si>
  <si>
    <t>jack.sparrow@pirate</t>
  </si>
  <si>
    <t xml:space="preserve">Alice Wonderland </t>
  </si>
  <si>
    <t>marketing</t>
  </si>
  <si>
    <t>alice@wonderland</t>
  </si>
  <si>
    <t>Charlie Brown</t>
  </si>
  <si>
    <t>charlie.brown@email</t>
  </si>
  <si>
    <t xml:space="preserve">Paul McCartney </t>
  </si>
  <si>
    <t>finance</t>
  </si>
  <si>
    <t xml:space="preserve">paul@mccartney </t>
  </si>
  <si>
    <t xml:space="preserve"> 890-123-4567</t>
  </si>
  <si>
    <t>Katy Perry</t>
  </si>
  <si>
    <t>Marketing</t>
  </si>
  <si>
    <t xml:space="preserve">katy@perry.com </t>
  </si>
  <si>
    <t>Quincy Jones</t>
  </si>
  <si>
    <t>quincy@jones.com</t>
  </si>
  <si>
    <t>Olivia Newton</t>
  </si>
  <si>
    <t>Finance</t>
  </si>
  <si>
    <t>olivia@newton.com</t>
  </si>
  <si>
    <t xml:space="preserve">  Bob Johnson</t>
  </si>
  <si>
    <t>bob.johnson@ email.com</t>
  </si>
  <si>
    <t>Hank Aaron</t>
  </si>
  <si>
    <t>It</t>
  </si>
  <si>
    <t xml:space="preserve">hank@aaron </t>
  </si>
  <si>
    <t xml:space="preserve">012-345-6789 </t>
  </si>
  <si>
    <t>Markting</t>
  </si>
  <si>
    <t xml:space="preserve"> (234)5678901 </t>
  </si>
  <si>
    <t>Frank Sinatra</t>
  </si>
  <si>
    <t xml:space="preserve">frank@sinatra </t>
  </si>
  <si>
    <t>Ivy League</t>
  </si>
  <si>
    <t>ivy@league.com</t>
  </si>
  <si>
    <t>Mona Lisa</t>
  </si>
  <si>
    <t>HR</t>
  </si>
  <si>
    <t xml:space="preserve">mona@lisa </t>
  </si>
  <si>
    <t>Rachel Green</t>
  </si>
  <si>
    <t>rachel.green@friends</t>
  </si>
  <si>
    <t xml:space="preserve"> Eve  Adams </t>
  </si>
  <si>
    <t>eve.adams@email.com</t>
  </si>
  <si>
    <t>janesmith@email.com</t>
  </si>
  <si>
    <t>larry.page@google.com</t>
  </si>
  <si>
    <t>david@beckham.com</t>
  </si>
  <si>
    <t>katy@perry.com</t>
  </si>
  <si>
    <t>(234)5678901</t>
  </si>
  <si>
    <t>456-789-0123</t>
  </si>
  <si>
    <t>9012345678</t>
  </si>
  <si>
    <t>5678901234</t>
  </si>
  <si>
    <t>890-123-4567</t>
  </si>
  <si>
    <t>3456789012</t>
  </si>
  <si>
    <t>7890123456</t>
  </si>
  <si>
    <t>012-345-6789</t>
  </si>
  <si>
    <t>hank@aaron.com</t>
  </si>
  <si>
    <t>alice@wonderland.com</t>
  </si>
  <si>
    <t>charlie.brown@email.com</t>
  </si>
  <si>
    <t>frank@sinatra.com</t>
  </si>
  <si>
    <t>jack.sparrow@pirate.com</t>
  </si>
  <si>
    <t>mona@lisa.com</t>
  </si>
  <si>
    <t>ned.stark@winterfell.com</t>
  </si>
  <si>
    <t>paul@mccartney.com</t>
  </si>
  <si>
    <t>rachel.green@friends.com</t>
  </si>
  <si>
    <t>John</t>
  </si>
  <si>
    <t>Doe</t>
  </si>
  <si>
    <t>Hank</t>
  </si>
  <si>
    <t>Aaron</t>
  </si>
  <si>
    <t>Bob</t>
  </si>
  <si>
    <t>Johnson</t>
  </si>
  <si>
    <t>Alice</t>
  </si>
  <si>
    <t>Wonderland</t>
  </si>
  <si>
    <t>Charlie</t>
  </si>
  <si>
    <t>Brown</t>
  </si>
  <si>
    <t>David</t>
  </si>
  <si>
    <t>Beckham</t>
  </si>
  <si>
    <t>Eve</t>
  </si>
  <si>
    <t>Adams</t>
  </si>
  <si>
    <t>Frank</t>
  </si>
  <si>
    <t>Sinatra</t>
  </si>
  <si>
    <t>Grace</t>
  </si>
  <si>
    <t>Hopper</t>
  </si>
  <si>
    <t>Jane</t>
  </si>
  <si>
    <t>Smith</t>
  </si>
  <si>
    <t>Ivy</t>
  </si>
  <si>
    <t>League</t>
  </si>
  <si>
    <t>Jack</t>
  </si>
  <si>
    <t>Sparrow</t>
  </si>
  <si>
    <t>Katy</t>
  </si>
  <si>
    <t>Perry</t>
  </si>
  <si>
    <t>Larry</t>
  </si>
  <si>
    <t>Page</t>
  </si>
  <si>
    <t>Mona</t>
  </si>
  <si>
    <t>Lisa</t>
  </si>
  <si>
    <t>Ned</t>
  </si>
  <si>
    <t>Stark</t>
  </si>
  <si>
    <t>Olivia</t>
  </si>
  <si>
    <t>Newton</t>
  </si>
  <si>
    <t>Paul</t>
  </si>
  <si>
    <t>McCartney</t>
  </si>
  <si>
    <t>Quincy</t>
  </si>
  <si>
    <t>Jones</t>
  </si>
  <si>
    <t>Rachel</t>
  </si>
  <si>
    <t>Green</t>
  </si>
  <si>
    <t>Surname</t>
  </si>
  <si>
    <t>Phone No</t>
  </si>
  <si>
    <t>1234567890</t>
  </si>
  <si>
    <t>Employee_ID</t>
  </si>
  <si>
    <t>First_Name</t>
  </si>
  <si>
    <t>Full_Name</t>
  </si>
  <si>
    <t>Hire_Date</t>
  </si>
  <si>
    <t>Birth_Date</t>
  </si>
  <si>
    <t>Row Labels</t>
  </si>
  <si>
    <t>Grand Total</t>
  </si>
  <si>
    <t>Sum of Salary</t>
  </si>
  <si>
    <t>Average of Salary</t>
  </si>
  <si>
    <t>01/01/2020</t>
  </si>
  <si>
    <t>09/09/2014</t>
  </si>
  <si>
    <t>05/02/2022</t>
  </si>
  <si>
    <t>10/03/2023</t>
  </si>
  <si>
    <t>20/04/2019</t>
  </si>
  <si>
    <t>25/05/2018</t>
  </si>
  <si>
    <t>30/06/2017</t>
  </si>
  <si>
    <t>07/07/2016</t>
  </si>
  <si>
    <t>08/08/2015</t>
  </si>
  <si>
    <t>15/01/2021</t>
  </si>
  <si>
    <t>Hire_Year</t>
  </si>
  <si>
    <t>Column Labels</t>
  </si>
  <si>
    <t>Total Average of Salary</t>
  </si>
  <si>
    <t>Total Count of Full_Name</t>
  </si>
  <si>
    <t>Count of Full_Name</t>
  </si>
  <si>
    <t>&lt;2</t>
  </si>
  <si>
    <t>2-5</t>
  </si>
  <si>
    <t>2014</t>
  </si>
  <si>
    <t>2015</t>
  </si>
  <si>
    <t>2016</t>
  </si>
  <si>
    <t>2017</t>
  </si>
  <si>
    <t>2018</t>
  </si>
  <si>
    <t>2019</t>
  </si>
  <si>
    <t>2020</t>
  </si>
  <si>
    <t>2021</t>
  </si>
  <si>
    <t>2022</t>
  </si>
  <si>
    <t>2023</t>
  </si>
  <si>
    <t>Count of Employee_ID</t>
  </si>
  <si>
    <t>EMPLOYEE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</si>
</sst>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43" formatCode="_(* #,##0.00_);_(* \(#,##0.00\);_(* &quot;-&quot;??_);_(@_)"/>
    <numFmt numFmtId="164" formatCode="_(* #,##0_);_(* \(#,##0\);_(* &quot;-&quot;??_);_(@_)"/>
  </numFmts>
  <fonts count="4" x14ac:knownFonts="1">
    <font>
      <sz val="11"/>
      <color theme="1"/>
      <name val="Calibri"/>
      <family val="2"/>
      <scheme val="minor"/>
    </font>
    <font>
      <sz val="11"/>
      <color theme="1"/>
      <name val="Calibri"/>
      <family val="2"/>
      <scheme val="minor"/>
    </font>
    <font>
      <sz val="10"/>
      <color rgb="FF000000"/>
      <name val="Courier New"/>
      <family val="3"/>
    </font>
    <font>
      <b/>
      <sz val="28"/>
      <color theme="0"/>
      <name val="Calibri"/>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4">
    <xf numFmtId="0" fontId="0" fillId="0" borderId="0" xfId="0"/>
    <xf numFmtId="14" fontId="0" fillId="0" borderId="0" xfId="0" applyNumberFormat="1"/>
    <xf numFmtId="3" fontId="0" fillId="0" borderId="0" xfId="0" applyNumberFormat="1"/>
    <xf numFmtId="15" fontId="0" fillId="0" borderId="0" xfId="0" applyNumberFormat="1"/>
    <xf numFmtId="6" fontId="0" fillId="0" borderId="0" xfId="0" applyNumberFormat="1"/>
    <xf numFmtId="0" fontId="2" fillId="0" borderId="0" xfId="0" applyFont="1" applyAlignment="1">
      <alignment vertical="center"/>
    </xf>
    <xf numFmtId="164" fontId="0" fillId="0" borderId="0" xfId="1" applyNumberFormat="1" applyFont="1"/>
    <xf numFmtId="2"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0" fontId="3" fillId="2" borderId="0" xfId="0" applyFont="1" applyFill="1" applyAlignment="1">
      <alignment horizontal="center"/>
    </xf>
    <xf numFmtId="0" fontId="0" fillId="2" borderId="0" xfId="0" applyFill="1" applyAlignment="1">
      <alignment horizontal="center"/>
    </xf>
  </cellXfs>
  <cellStyles count="2">
    <cellStyle name="Comma" xfId="1" builtinId="3"/>
    <cellStyle name="Normal" xfId="0" builtinId="0"/>
  </cellStyles>
  <dxfs count="7">
    <dxf>
      <numFmt numFmtId="2" formatCode="0.00"/>
    </dxf>
    <dxf>
      <numFmt numFmtId="164" formatCode="_(* #,##0_);_(* \(#,##0\);_(* &quot;-&quot;??_);_(@_)"/>
    </dxf>
    <dxf>
      <numFmt numFmtId="2" formatCode="0.00"/>
    </dxf>
    <dxf>
      <numFmt numFmtId="164" formatCode="_(* #,##0_);_(* \(#,##0\);_(* &quot;-&quot;??_);_(@_)"/>
    </dxf>
    <dxf>
      <numFmt numFmtId="164" formatCode="_(* #,##0_);_(* \(#,##0\);_(* &quot;-&quot;??_);_(@_)"/>
    </dxf>
    <dxf>
      <numFmt numFmtId="164" formatCode="_(* #,##0_);_(* \(#,##0\);_(*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[Employee_Id.xlsx]Pivot Table!PivotTable11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 Table'!$B$2</c:f>
              <c:strCache>
                <c:ptCount val="1"/>
                <c:pt idx="0">
                  <c:v>Total</c:v>
                </c:pt>
              </c:strCache>
            </c:strRef>
          </c:tx>
          <c:spPr>
            <a:solidFill>
              <a:schemeClr val="accent1"/>
            </a:solidFill>
            <a:ln>
              <a:noFill/>
            </a:ln>
            <a:effectLst/>
          </c:spPr>
          <c:invertIfNegative val="0"/>
          <c:cat>
            <c:strRef>
              <c:f>'Pivot Table'!$A$3:$A$8</c:f>
              <c:strCache>
                <c:ptCount val="5"/>
                <c:pt idx="0">
                  <c:v>Marketing</c:v>
                </c:pt>
                <c:pt idx="1">
                  <c:v>IT</c:v>
                </c:pt>
                <c:pt idx="2">
                  <c:v>Finance</c:v>
                </c:pt>
                <c:pt idx="3">
                  <c:v>HR</c:v>
                </c:pt>
                <c:pt idx="4">
                  <c:v>Sales</c:v>
                </c:pt>
              </c:strCache>
            </c:strRef>
          </c:cat>
          <c:val>
            <c:numRef>
              <c:f>'Pivot Table'!$B$3:$B$8</c:f>
              <c:numCache>
                <c:formatCode>General</c:formatCode>
                <c:ptCount val="5"/>
                <c:pt idx="0">
                  <c:v>8</c:v>
                </c:pt>
                <c:pt idx="1">
                  <c:v>4</c:v>
                </c:pt>
                <c:pt idx="2">
                  <c:v>3</c:v>
                </c:pt>
                <c:pt idx="3">
                  <c:v>3</c:v>
                </c:pt>
                <c:pt idx="4">
                  <c:v>2</c:v>
                </c:pt>
              </c:numCache>
            </c:numRef>
          </c:val>
        </c:ser>
        <c:dLbls>
          <c:showLegendKey val="0"/>
          <c:showVal val="0"/>
          <c:showCatName val="0"/>
          <c:showSerName val="0"/>
          <c:showPercent val="0"/>
          <c:showBubbleSize val="0"/>
        </c:dLbls>
        <c:gapWidth val="219"/>
        <c:overlap val="-27"/>
        <c:axId val="340899960"/>
        <c:axId val="340897608"/>
      </c:barChart>
      <c:catAx>
        <c:axId val="340899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97608"/>
        <c:crosses val="autoZero"/>
        <c:auto val="1"/>
        <c:lblAlgn val="ctr"/>
        <c:lblOffset val="100"/>
        <c:noMultiLvlLbl val="0"/>
      </c:catAx>
      <c:valAx>
        <c:axId val="340897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99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[Employee_Id.xlsx]Pivot Table!PivotTable12</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'Pivot Table'!$B$11</c:f>
              <c:strCache>
                <c:ptCount val="1"/>
                <c:pt idx="0">
                  <c:v>Sum of Salary</c:v>
                </c:pt>
              </c:strCache>
            </c:strRef>
          </c:tx>
          <c:spPr>
            <a:solidFill>
              <a:schemeClr val="accent1"/>
            </a:solidFill>
            <a:ln>
              <a:noFill/>
            </a:ln>
            <a:effectLst/>
          </c:spPr>
          <c:invertIfNegative val="0"/>
          <c:cat>
            <c:strRef>
              <c:f>'Pivot Table'!$A$12:$A$17</c:f>
              <c:strCache>
                <c:ptCount val="5"/>
                <c:pt idx="0">
                  <c:v>Marketing</c:v>
                </c:pt>
                <c:pt idx="1">
                  <c:v>IT</c:v>
                </c:pt>
                <c:pt idx="2">
                  <c:v>Finance</c:v>
                </c:pt>
                <c:pt idx="3">
                  <c:v>HR</c:v>
                </c:pt>
                <c:pt idx="4">
                  <c:v>Sales</c:v>
                </c:pt>
              </c:strCache>
            </c:strRef>
          </c:cat>
          <c:val>
            <c:numRef>
              <c:f>'Pivot Table'!$B$12:$B$17</c:f>
              <c:numCache>
                <c:formatCode>_(* #,##0_);_(* \(#,##0\);_(* "-"??_);_(@_)</c:formatCode>
                <c:ptCount val="5"/>
                <c:pt idx="0">
                  <c:v>523333.33333333331</c:v>
                </c:pt>
                <c:pt idx="1">
                  <c:v>353333.33333333331</c:v>
                </c:pt>
                <c:pt idx="2">
                  <c:v>245000</c:v>
                </c:pt>
                <c:pt idx="3">
                  <c:v>221666.66666666666</c:v>
                </c:pt>
                <c:pt idx="4">
                  <c:v>123333.33333333333</c:v>
                </c:pt>
              </c:numCache>
            </c:numRef>
          </c:val>
        </c:ser>
        <c:ser>
          <c:idx val="1"/>
          <c:order val="1"/>
          <c:tx>
            <c:strRef>
              <c:f>'Pivot Table'!$C$11</c:f>
              <c:strCache>
                <c:ptCount val="1"/>
                <c:pt idx="0">
                  <c:v>Average of Salary</c:v>
                </c:pt>
              </c:strCache>
            </c:strRef>
          </c:tx>
          <c:spPr>
            <a:solidFill>
              <a:schemeClr val="accent2"/>
            </a:solidFill>
            <a:ln>
              <a:noFill/>
            </a:ln>
            <a:effectLst/>
          </c:spPr>
          <c:invertIfNegative val="0"/>
          <c:cat>
            <c:strRef>
              <c:f>'Pivot Table'!$A$12:$A$17</c:f>
              <c:strCache>
                <c:ptCount val="5"/>
                <c:pt idx="0">
                  <c:v>Marketing</c:v>
                </c:pt>
                <c:pt idx="1">
                  <c:v>IT</c:v>
                </c:pt>
                <c:pt idx="2">
                  <c:v>Finance</c:v>
                </c:pt>
                <c:pt idx="3">
                  <c:v>HR</c:v>
                </c:pt>
                <c:pt idx="4">
                  <c:v>Sales</c:v>
                </c:pt>
              </c:strCache>
            </c:strRef>
          </c:cat>
          <c:val>
            <c:numRef>
              <c:f>'Pivot Table'!$C$12:$C$17</c:f>
              <c:numCache>
                <c:formatCode>_(* #,##0_);_(* \(#,##0\);_(* "-"??_);_(@_)</c:formatCode>
                <c:ptCount val="5"/>
                <c:pt idx="0">
                  <c:v>65416.666666666664</c:v>
                </c:pt>
                <c:pt idx="1">
                  <c:v>88333.333333333328</c:v>
                </c:pt>
                <c:pt idx="2">
                  <c:v>81666.666666666672</c:v>
                </c:pt>
                <c:pt idx="3">
                  <c:v>73888.888888888891</c:v>
                </c:pt>
                <c:pt idx="4">
                  <c:v>61666.666666666664</c:v>
                </c:pt>
              </c:numCache>
            </c:numRef>
          </c:val>
        </c:ser>
        <c:dLbls>
          <c:showLegendKey val="0"/>
          <c:showVal val="0"/>
          <c:showCatName val="0"/>
          <c:showSerName val="0"/>
          <c:showPercent val="0"/>
          <c:showBubbleSize val="0"/>
        </c:dLbls>
        <c:gapWidth val="219"/>
        <c:overlap val="-27"/>
        <c:axId val="340901920"/>
        <c:axId val="340898392"/>
      </c:barChart>
      <c:catAx>
        <c:axId val="340901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898392"/>
        <c:crosses val="autoZero"/>
        <c:auto val="1"/>
        <c:lblAlgn val="ctr"/>
        <c:lblOffset val="100"/>
        <c:noMultiLvlLbl val="0"/>
      </c:catAx>
      <c:valAx>
        <c:axId val="340898392"/>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0192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[Employee_Id.xlsx]Pivot Table!PivotTable14</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pivotFmt>
      <c:pivotFmt>
        <c:idx val="1"/>
        <c:spPr>
          <a:solidFill>
            <a:schemeClr val="accent1"/>
          </a:solidFill>
          <a:ln>
            <a:noFill/>
          </a:ln>
          <a:effectLst/>
          <a:sp3d/>
        </c:spP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Table'!$J$14</c:f>
              <c:strCache>
                <c:ptCount val="1"/>
                <c:pt idx="0">
                  <c:v>Total</c:v>
                </c:pt>
              </c:strCache>
            </c:strRef>
          </c:tx>
          <c:spPr>
            <a:solidFill>
              <a:schemeClr val="accent1"/>
            </a:solidFill>
            <a:ln>
              <a:noFill/>
            </a:ln>
            <a:effectLst/>
            <a:sp3d/>
          </c:spPr>
          <c:invertIfNegative val="0"/>
          <c:cat>
            <c:strRef>
              <c:f>'Pivot Table'!$I$15:$I$25</c:f>
              <c:strCache>
                <c:ptCount val="10"/>
                <c:pt idx="0">
                  <c:v>2014</c:v>
                </c:pt>
                <c:pt idx="1">
                  <c:v>2015</c:v>
                </c:pt>
                <c:pt idx="2">
                  <c:v>2016</c:v>
                </c:pt>
                <c:pt idx="3">
                  <c:v>2017</c:v>
                </c:pt>
                <c:pt idx="4">
                  <c:v>2018</c:v>
                </c:pt>
                <c:pt idx="5">
                  <c:v>2019</c:v>
                </c:pt>
                <c:pt idx="6">
                  <c:v>2020</c:v>
                </c:pt>
                <c:pt idx="7">
                  <c:v>2021</c:v>
                </c:pt>
                <c:pt idx="8">
                  <c:v>2022</c:v>
                </c:pt>
                <c:pt idx="9">
                  <c:v>2023</c:v>
                </c:pt>
              </c:strCache>
            </c:strRef>
          </c:cat>
          <c:val>
            <c:numRef>
              <c:f>'Pivot Table'!$J$15:$J$25</c:f>
              <c:numCache>
                <c:formatCode>General</c:formatCode>
                <c:ptCount val="10"/>
                <c:pt idx="0">
                  <c:v>2</c:v>
                </c:pt>
                <c:pt idx="1">
                  <c:v>2</c:v>
                </c:pt>
                <c:pt idx="2">
                  <c:v>2</c:v>
                </c:pt>
                <c:pt idx="3">
                  <c:v>2</c:v>
                </c:pt>
                <c:pt idx="4">
                  <c:v>2</c:v>
                </c:pt>
                <c:pt idx="5">
                  <c:v>2</c:v>
                </c:pt>
                <c:pt idx="6">
                  <c:v>2</c:v>
                </c:pt>
                <c:pt idx="7">
                  <c:v>2</c:v>
                </c:pt>
                <c:pt idx="8">
                  <c:v>2</c:v>
                </c:pt>
                <c:pt idx="9">
                  <c:v>2</c:v>
                </c:pt>
              </c:numCache>
            </c:numRef>
          </c:val>
        </c:ser>
        <c:dLbls>
          <c:showLegendKey val="0"/>
          <c:showVal val="0"/>
          <c:showCatName val="0"/>
          <c:showSerName val="0"/>
          <c:showPercent val="0"/>
          <c:showBubbleSize val="0"/>
        </c:dLbls>
        <c:gapWidth val="150"/>
        <c:shape val="box"/>
        <c:axId val="340902312"/>
        <c:axId val="340902704"/>
        <c:axId val="0"/>
      </c:bar3DChart>
      <c:catAx>
        <c:axId val="3409023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02704"/>
        <c:crosses val="autoZero"/>
        <c:auto val="1"/>
        <c:lblAlgn val="ctr"/>
        <c:lblOffset val="100"/>
        <c:noMultiLvlLbl val="0"/>
      </c:catAx>
      <c:valAx>
        <c:axId val="340902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9023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457200</xdr:colOff>
      <xdr:row>1</xdr:row>
      <xdr:rowOff>114300</xdr:rowOff>
    </xdr:from>
    <xdr:to>
      <xdr:col>7</xdr:col>
      <xdr:colOff>19050</xdr:colOff>
      <xdr:row>15</xdr:row>
      <xdr:rowOff>114300</xdr:rowOff>
    </xdr:to>
    <mc:AlternateContent xmlns:mc="http://schemas.openxmlformats.org/markup-compatibility/2006" xmlns:a14="http://schemas.microsoft.com/office/drawing/2010/main">
      <mc:Choice Requires="a14">
        <xdr:graphicFrame macro="">
          <xdr:nvGraphicFramePr>
            <xdr:cNvPr id="5"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286125" y="3048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180975</xdr:rowOff>
    </xdr:from>
    <xdr:to>
      <xdr:col>6</xdr:col>
      <xdr:colOff>504825</xdr:colOff>
      <xdr:row>19</xdr:row>
      <xdr:rowOff>66675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552451</xdr:colOff>
      <xdr:row>4</xdr:row>
      <xdr:rowOff>180975</xdr:rowOff>
    </xdr:from>
    <xdr:to>
      <xdr:col>9</xdr:col>
      <xdr:colOff>2152651</xdr:colOff>
      <xdr:row>19</xdr:row>
      <xdr:rowOff>66675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19</xdr:row>
      <xdr:rowOff>66675</xdr:rowOff>
    </xdr:from>
    <xdr:to>
      <xdr:col>8</xdr:col>
      <xdr:colOff>981074</xdr:colOff>
      <xdr:row>32</xdr:row>
      <xdr:rowOff>66675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952500</xdr:colOff>
      <xdr:row>19</xdr:row>
      <xdr:rowOff>66676</xdr:rowOff>
    </xdr:from>
    <xdr:to>
      <xdr:col>10</xdr:col>
      <xdr:colOff>0</xdr:colOff>
      <xdr:row>32</xdr:row>
      <xdr:rowOff>66676</xdr:rowOff>
    </xdr:to>
    <mc:AlternateContent xmlns:mc="http://schemas.openxmlformats.org/markup-compatibility/2006" xmlns:a14="http://schemas.microsoft.com/office/drawing/2010/main">
      <mc:Choice Requires="a14">
        <xdr:graphicFrame macro="">
          <xdr:nvGraphicFramePr>
            <xdr:cNvPr id="6"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6657975" y="3686176"/>
              <a:ext cx="2286000" cy="247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CER" refreshedDate="46009.458393287037" createdVersion="5" refreshedVersion="5" minRefreshableVersion="3" recordCount="20">
  <cacheSource type="worksheet">
    <worksheetSource name="Main_data" sheet="Worksheet"/>
  </cacheSource>
  <cacheFields count="14">
    <cacheField name="Employee_ID" numFmtId="0">
      <sharedItems containsSemiMixedTypes="0" containsString="0" containsNumber="1" containsInteger="1" minValue="1" maxValue="20" count="20">
        <n v="1"/>
        <n v="2"/>
        <n v="3"/>
        <n v="4"/>
        <n v="5"/>
        <n v="6"/>
        <n v="7"/>
        <n v="8"/>
        <n v="9"/>
        <n v="10"/>
        <n v="11"/>
        <n v="12"/>
        <n v="13"/>
        <n v="14"/>
        <n v="15"/>
        <n v="16"/>
        <n v="17"/>
        <n v="18"/>
        <n v="19"/>
        <n v="20"/>
      </sharedItems>
    </cacheField>
    <cacheField name="First_Name" numFmtId="0">
      <sharedItems/>
    </cacheField>
    <cacheField name="Surname" numFmtId="0">
      <sharedItems/>
    </cacheField>
    <cacheField name="Full_Name" numFmtId="0">
      <sharedItems/>
    </cacheField>
    <cacheField name="Department" numFmtId="0">
      <sharedItems count="5">
        <s v="IT"/>
        <s v="Finance"/>
        <s v="HR"/>
        <s v="Marketing"/>
        <s v="Sales"/>
      </sharedItems>
    </cacheField>
    <cacheField name="Salary" numFmtId="164">
      <sharedItems containsSemiMixedTypes="0" containsString="0" containsNumber="1" minValue="50000" maxValue="95000" count="11">
        <n v="95000"/>
        <n v="80000"/>
        <n v="73333.333333333328"/>
        <n v="70000"/>
        <n v="50000"/>
        <n v="90000"/>
        <n v="85000"/>
        <n v="65000"/>
        <n v="60000"/>
        <n v="55000"/>
        <n v="75000"/>
      </sharedItems>
    </cacheField>
    <cacheField name="Hire_Date" numFmtId="14">
      <sharedItems/>
    </cacheField>
    <cacheField name="Hire_Year" numFmtId="14">
      <sharedItems count="10">
        <s v="2014"/>
        <s v="2017"/>
        <s v="2018"/>
        <s v="2019"/>
        <s v="2020"/>
        <s v="2015"/>
        <s v="2022"/>
        <s v="2016"/>
        <s v="2023"/>
        <s v="2021"/>
      </sharedItems>
    </cacheField>
    <cacheField name="Birth_Date" numFmtId="14">
      <sharedItems containsSemiMixedTypes="0" containsNonDate="0" containsDate="1" containsString="0" minDate="1950-01-01T00:00:00" maxDate="1995-07-26T00:00:00"/>
    </cacheField>
    <cacheField name="Email" numFmtId="0">
      <sharedItems/>
    </cacheField>
    <cacheField name="Phone No" numFmtId="2">
      <sharedItems/>
    </cacheField>
    <cacheField name="Hours Worked" numFmtId="0">
      <sharedItems containsSemiMixedTypes="0" containsString="0" containsNumber="1" containsInteger="1" minValue="35" maxValue="45"/>
    </cacheField>
    <cacheField name="Performance Rating" numFmtId="0">
      <sharedItems containsSemiMixedTypes="0" containsString="0" containsNumber="1" minValue="1.9" maxValue="5"/>
    </cacheField>
    <cacheField name="AVG Salary" numFmtId="0" formula="Salary" databaseField="0"/>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CER" refreshedDate="46009.468676388889" createdVersion="5" refreshedVersion="5" minRefreshableVersion="3" recordCount="20">
  <cacheSource type="worksheet">
    <worksheetSource ref="C1:M21" sheet="Worksheet"/>
  </cacheSource>
  <cacheFields count="11">
    <cacheField name="Surname" numFmtId="0">
      <sharedItems/>
    </cacheField>
    <cacheField name="Full_Name" numFmtId="0">
      <sharedItems/>
    </cacheField>
    <cacheField name="Department" numFmtId="0">
      <sharedItems count="5">
        <s v="IT"/>
        <s v="Finance"/>
        <s v="HR"/>
        <s v="Marketing"/>
        <s v="Sales"/>
      </sharedItems>
    </cacheField>
    <cacheField name="Salary" numFmtId="164">
      <sharedItems containsSemiMixedTypes="0" containsString="0" containsNumber="1" minValue="50000" maxValue="95000"/>
    </cacheField>
    <cacheField name="Hire_Date" numFmtId="14">
      <sharedItems/>
    </cacheField>
    <cacheField name="Hire_Year" numFmtId="14">
      <sharedItems/>
    </cacheField>
    <cacheField name="Birth_Date" numFmtId="14">
      <sharedItems containsSemiMixedTypes="0" containsNonDate="0" containsDate="1" containsString="0" minDate="1950-01-01T00:00:00" maxDate="1995-07-26T00:00:00"/>
    </cacheField>
    <cacheField name="Email" numFmtId="0">
      <sharedItems/>
    </cacheField>
    <cacheField name="Phone No" numFmtId="2">
      <sharedItems/>
    </cacheField>
    <cacheField name="Hours Worked" numFmtId="0">
      <sharedItems containsSemiMixedTypes="0" containsString="0" containsNumber="1" containsInteger="1" minValue="35" maxValue="45"/>
    </cacheField>
    <cacheField name="Performance Rating" numFmtId="0">
      <sharedItems containsSemiMixedTypes="0" containsString="0" containsNumber="1" minValue="1.9" maxValue="5" count="10">
        <n v="4.2"/>
        <n v="1.9"/>
        <n v="5"/>
        <n v="4.5"/>
        <n v="3.5"/>
        <n v="3"/>
        <n v="2.8"/>
        <n v="2.5"/>
        <n v="3.2"/>
        <n v="4"/>
      </sharedItems>
      <fieldGroup base="10">
        <rangePr autoStart="0" autoEnd="0" startNum="2" endNum="5" groupInterval="3"/>
        <groupItems count="3">
          <s v="&lt;2"/>
          <s v="2-5"/>
          <s v="&gt;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x v="0"/>
    <s v="John"/>
    <s v="Aaron"/>
    <s v="John Aaron"/>
    <x v="0"/>
    <x v="0"/>
    <s v="09/09/2014"/>
    <x v="0"/>
    <d v="1950-01-01T00:00:00"/>
    <s v="hank@aaron.com"/>
    <s v="456-789-0123"/>
    <n v="43"/>
    <n v="4.2"/>
  </r>
  <r>
    <x v="1"/>
    <s v="Hank"/>
    <s v="Adams"/>
    <s v="Hank Adams"/>
    <x v="1"/>
    <x v="1"/>
    <s v="30/06/2017"/>
    <x v="1"/>
    <d v="1965-10-15T00:00:00"/>
    <s v="eve.adams@email.com"/>
    <s v="1234567890"/>
    <n v="37"/>
    <n v="1.9"/>
  </r>
  <r>
    <x v="2"/>
    <s v="Bob"/>
    <s v="Beckham"/>
    <s v="Bob Beckham"/>
    <x v="2"/>
    <x v="2"/>
    <s v="25/05/2018"/>
    <x v="2"/>
    <d v="1970-09-05T00:00:00"/>
    <s v="david@beckham.com"/>
    <s v="678-901-2345"/>
    <n v="40"/>
    <n v="5"/>
  </r>
  <r>
    <x v="3"/>
    <s v="Alice"/>
    <s v="Brown"/>
    <s v="Alice Brown"/>
    <x v="3"/>
    <x v="3"/>
    <s v="20/04/2019"/>
    <x v="3"/>
    <d v="1975-08-30T00:00:00"/>
    <s v="charlie.brown@email.com"/>
    <s v="678-901-2345"/>
    <n v="42"/>
    <n v="4.5"/>
  </r>
  <r>
    <x v="4"/>
    <s v="Charlie"/>
    <s v="Doe"/>
    <s v="Charlie Doe"/>
    <x v="4"/>
    <x v="4"/>
    <s v="01/01/2020"/>
    <x v="4"/>
    <d v="1980-05-15T00:00:00"/>
    <s v="john.doe@email.com"/>
    <s v="123-456-7890"/>
    <n v="40"/>
    <n v="3.5"/>
  </r>
  <r>
    <x v="5"/>
    <s v="David"/>
    <s v="Green"/>
    <s v="David Green"/>
    <x v="0"/>
    <x v="0"/>
    <s v="09/09/2014"/>
    <x v="0"/>
    <d v="1950-01-01T00:00:00"/>
    <s v="rachel.green@friends.com"/>
    <s v="5678901234"/>
    <n v="43"/>
    <n v="4.2"/>
  </r>
  <r>
    <x v="6"/>
    <s v="Eve"/>
    <s v="Hopper"/>
    <s v="Eve Hopper"/>
    <x v="0"/>
    <x v="2"/>
    <s v="08/08/2015"/>
    <x v="5"/>
    <d v="1955-12-25T00:00:00"/>
    <s v="grace.hopper@email.com"/>
    <s v="456-789-0123"/>
    <n v="39"/>
    <n v="3"/>
  </r>
  <r>
    <x v="7"/>
    <s v="Frank"/>
    <s v="Johnson"/>
    <s v="Frank Johnson"/>
    <x v="3"/>
    <x v="2"/>
    <s v="05/02/2022"/>
    <x v="6"/>
    <d v="1990-06-10T00:00:00"/>
    <s v="bob.johnson@ email.com"/>
    <s v="9012345678"/>
    <n v="45"/>
    <n v="2.8"/>
  </r>
  <r>
    <x v="8"/>
    <s v="Grace"/>
    <s v="Jones"/>
    <s v="Grace Jones"/>
    <x v="0"/>
    <x v="5"/>
    <s v="08/08/2015"/>
    <x v="5"/>
    <d v="1955-12-25T00:00:00"/>
    <s v="quincy@jones.com"/>
    <s v="123-456-7890"/>
    <n v="39"/>
    <n v="3"/>
  </r>
  <r>
    <x v="9"/>
    <s v="Jane"/>
    <s v="League"/>
    <s v="Jane League"/>
    <x v="3"/>
    <x v="4"/>
    <s v="01/01/2020"/>
    <x v="4"/>
    <d v="1980-05-15T00:00:00"/>
    <s v="ivy@league.com"/>
    <s v="890-123-4567"/>
    <n v="40"/>
    <n v="3.5"/>
  </r>
  <r>
    <x v="10"/>
    <s v="Ivy"/>
    <s v="Lisa"/>
    <s v="Ivy Lisa"/>
    <x v="2"/>
    <x v="2"/>
    <s v="20/04/2019"/>
    <x v="3"/>
    <d v="1975-08-30T00:00:00"/>
    <s v="mona@lisa.com"/>
    <s v="3456789012"/>
    <n v="42"/>
    <n v="4.5"/>
  </r>
  <r>
    <x v="11"/>
    <s v="Jack"/>
    <s v="McCartney"/>
    <s v="Jack McCartney"/>
    <x v="1"/>
    <x v="6"/>
    <s v="07/07/2016"/>
    <x v="7"/>
    <d v="1960-11-20T00:00:00"/>
    <s v="paul@mccartney.com"/>
    <s v="890-123-4567"/>
    <n v="41"/>
    <n v="2.5"/>
  </r>
  <r>
    <x v="12"/>
    <s v="Katy"/>
    <s v="Newton"/>
    <s v="Katy Newton"/>
    <x v="1"/>
    <x v="1"/>
    <s v="30/06/2017"/>
    <x v="1"/>
    <d v="1965-10-15T00:00:00"/>
    <s v="olivia@newton.com"/>
    <s v="(234)5678901"/>
    <n v="37"/>
    <n v="1.9"/>
  </r>
  <r>
    <x v="13"/>
    <s v="Larry"/>
    <s v="Page"/>
    <s v="Larry Page"/>
    <x v="3"/>
    <x v="7"/>
    <s v="10/03/2023"/>
    <x v="8"/>
    <d v="1995-07-25T00:00:00"/>
    <s v="larry.page@google.com"/>
    <s v="7890123456"/>
    <n v="38"/>
    <n v="3.2"/>
  </r>
  <r>
    <x v="14"/>
    <s v="Mona"/>
    <s v="Perry"/>
    <s v="Mona Perry"/>
    <x v="3"/>
    <x v="8"/>
    <s v="05/02/2022"/>
    <x v="6"/>
    <d v="1990-06-10T00:00:00"/>
    <s v="katy@perry.com"/>
    <s v="9012345678"/>
    <n v="45"/>
    <n v="2.8"/>
  </r>
  <r>
    <x v="15"/>
    <s v="Ned"/>
    <s v="Sinatra"/>
    <s v="Ned Sinatra"/>
    <x v="3"/>
    <x v="6"/>
    <s v="07/07/2016"/>
    <x v="7"/>
    <d v="1960-11-20T00:00:00"/>
    <s v="frank@sinatra.com"/>
    <s v="(234) 567-8901"/>
    <n v="41"/>
    <n v="2.5"/>
  </r>
  <r>
    <x v="16"/>
    <s v="Olivia"/>
    <s v="Smith"/>
    <s v="Olivia Smith"/>
    <x v="3"/>
    <x v="9"/>
    <s v="15/01/2021"/>
    <x v="9"/>
    <d v="1985-05-20T00:00:00"/>
    <s v="janesmith@email.com"/>
    <s v="5678901234"/>
    <n v="35"/>
    <n v="4"/>
  </r>
  <r>
    <x v="17"/>
    <s v="Paul"/>
    <s v="Sparrow"/>
    <s v="Paul Sparrow"/>
    <x v="4"/>
    <x v="2"/>
    <s v="15/01/2021"/>
    <x v="9"/>
    <d v="1985-05-20T00:00:00"/>
    <s v="jack.sparrow@pirate.com"/>
    <s v="3456789012"/>
    <n v="35"/>
    <n v="4"/>
  </r>
  <r>
    <x v="18"/>
    <s v="Quincy"/>
    <s v="Stark"/>
    <s v="Quincy Stark"/>
    <x v="2"/>
    <x v="10"/>
    <s v="25/05/2018"/>
    <x v="2"/>
    <d v="1970-09-05T00:00:00"/>
    <s v="ned.stark@winterfell.com"/>
    <s v="012-345-6789"/>
    <n v="40"/>
    <n v="5"/>
  </r>
  <r>
    <x v="19"/>
    <s v="Rachel"/>
    <s v="Wonderland"/>
    <s v="Rachel Wonderland"/>
    <x v="3"/>
    <x v="7"/>
    <s v="10/03/2023"/>
    <x v="8"/>
    <d v="1995-07-25T00:00:00"/>
    <s v="alice@wonderland.com"/>
    <s v="(234) 567-8901"/>
    <n v="38"/>
    <n v="3.2"/>
  </r>
</pivotCacheRecords>
</file>

<file path=xl/pivotCache/pivotCacheRecords2.xml><?xml version="1.0" encoding="utf-8"?>
<pivotCacheRecords xmlns="http://schemas.openxmlformats.org/spreadsheetml/2006/main" xmlns:r="http://schemas.openxmlformats.org/officeDocument/2006/relationships" count="20">
  <r>
    <s v="Aaron"/>
    <s v="John Aaron"/>
    <x v="0"/>
    <n v="95000"/>
    <s v="09/09/2014"/>
    <s v="2014"/>
    <d v="1950-01-01T00:00:00"/>
    <s v="hank@aaron.com"/>
    <s v="456-789-0123"/>
    <n v="43"/>
    <x v="0"/>
  </r>
  <r>
    <s v="Adams"/>
    <s v="Hank Adams"/>
    <x v="1"/>
    <n v="80000"/>
    <s v="30/06/2017"/>
    <s v="2017"/>
    <d v="1965-10-15T00:00:00"/>
    <s v="eve.adams@email.com"/>
    <s v="1234567890"/>
    <n v="37"/>
    <x v="1"/>
  </r>
  <r>
    <s v="Beckham"/>
    <s v="Bob Beckham"/>
    <x v="2"/>
    <n v="73333.333333333328"/>
    <s v="25/05/2018"/>
    <s v="2018"/>
    <d v="1970-09-05T00:00:00"/>
    <s v="david@beckham.com"/>
    <s v="678-901-2345"/>
    <n v="40"/>
    <x v="2"/>
  </r>
  <r>
    <s v="Brown"/>
    <s v="Alice Brown"/>
    <x v="3"/>
    <n v="70000"/>
    <s v="20/04/2019"/>
    <s v="2019"/>
    <d v="1975-08-30T00:00:00"/>
    <s v="charlie.brown@email.com"/>
    <s v="678-901-2345"/>
    <n v="42"/>
    <x v="3"/>
  </r>
  <r>
    <s v="Doe"/>
    <s v="Charlie Doe"/>
    <x v="4"/>
    <n v="50000"/>
    <s v="01/01/2020"/>
    <s v="2020"/>
    <d v="1980-05-15T00:00:00"/>
    <s v="john.doe@email.com"/>
    <s v="123-456-7890"/>
    <n v="40"/>
    <x v="4"/>
  </r>
  <r>
    <s v="Green"/>
    <s v="David Green"/>
    <x v="0"/>
    <n v="95000"/>
    <s v="09/09/2014"/>
    <s v="2014"/>
    <d v="1950-01-01T00:00:00"/>
    <s v="rachel.green@friends.com"/>
    <s v="5678901234"/>
    <n v="43"/>
    <x v="0"/>
  </r>
  <r>
    <s v="Hopper"/>
    <s v="Eve Hopper"/>
    <x v="0"/>
    <n v="73333.333333333328"/>
    <s v="08/08/2015"/>
    <s v="2015"/>
    <d v="1955-12-25T00:00:00"/>
    <s v="grace.hopper@email.com"/>
    <s v="456-789-0123"/>
    <n v="39"/>
    <x v="5"/>
  </r>
  <r>
    <s v="Johnson"/>
    <s v="Frank Johnson"/>
    <x v="3"/>
    <n v="73333.333333333328"/>
    <s v="05/02/2022"/>
    <s v="2022"/>
    <d v="1990-06-10T00:00:00"/>
    <s v="bob.johnson@ email.com"/>
    <s v="9012345678"/>
    <n v="45"/>
    <x v="6"/>
  </r>
  <r>
    <s v="Jones"/>
    <s v="Grace Jones"/>
    <x v="0"/>
    <n v="90000"/>
    <s v="08/08/2015"/>
    <s v="2015"/>
    <d v="1955-12-25T00:00:00"/>
    <s v="quincy@jones.com"/>
    <s v="123-456-7890"/>
    <n v="39"/>
    <x v="5"/>
  </r>
  <r>
    <s v="League"/>
    <s v="Jane League"/>
    <x v="3"/>
    <n v="50000"/>
    <s v="01/01/2020"/>
    <s v="2020"/>
    <d v="1980-05-15T00:00:00"/>
    <s v="ivy@league.com"/>
    <s v="890-123-4567"/>
    <n v="40"/>
    <x v="4"/>
  </r>
  <r>
    <s v="Lisa"/>
    <s v="Ivy Lisa"/>
    <x v="2"/>
    <n v="73333.333333333328"/>
    <s v="20/04/2019"/>
    <s v="2019"/>
    <d v="1975-08-30T00:00:00"/>
    <s v="mona@lisa.com"/>
    <s v="3456789012"/>
    <n v="42"/>
    <x v="3"/>
  </r>
  <r>
    <s v="McCartney"/>
    <s v="Jack McCartney"/>
    <x v="1"/>
    <n v="85000"/>
    <s v="07/07/2016"/>
    <s v="2016"/>
    <d v="1960-11-20T00:00:00"/>
    <s v="paul@mccartney.com"/>
    <s v="890-123-4567"/>
    <n v="41"/>
    <x v="7"/>
  </r>
  <r>
    <s v="Newton"/>
    <s v="Katy Newton"/>
    <x v="1"/>
    <n v="80000"/>
    <s v="30/06/2017"/>
    <s v="2017"/>
    <d v="1965-10-15T00:00:00"/>
    <s v="olivia@newton.com"/>
    <s v="(234)5678901"/>
    <n v="37"/>
    <x v="1"/>
  </r>
  <r>
    <s v="Page"/>
    <s v="Larry Page"/>
    <x v="3"/>
    <n v="65000"/>
    <s v="10/03/2023"/>
    <s v="2023"/>
    <d v="1995-07-25T00:00:00"/>
    <s v="larry.page@google.com"/>
    <s v="7890123456"/>
    <n v="38"/>
    <x v="8"/>
  </r>
  <r>
    <s v="Perry"/>
    <s v="Mona Perry"/>
    <x v="3"/>
    <n v="60000"/>
    <s v="05/02/2022"/>
    <s v="2022"/>
    <d v="1990-06-10T00:00:00"/>
    <s v="katy@perry.com"/>
    <s v="9012345678"/>
    <n v="45"/>
    <x v="6"/>
  </r>
  <r>
    <s v="Sinatra"/>
    <s v="Ned Sinatra"/>
    <x v="3"/>
    <n v="85000"/>
    <s v="07/07/2016"/>
    <s v="2016"/>
    <d v="1960-11-20T00:00:00"/>
    <s v="frank@sinatra.com"/>
    <s v="(234) 567-8901"/>
    <n v="41"/>
    <x v="7"/>
  </r>
  <r>
    <s v="Smith"/>
    <s v="Olivia Smith"/>
    <x v="3"/>
    <n v="55000"/>
    <s v="15/01/2021"/>
    <s v="2021"/>
    <d v="1985-05-20T00:00:00"/>
    <s v="janesmith@email.com"/>
    <s v="5678901234"/>
    <n v="35"/>
    <x v="9"/>
  </r>
  <r>
    <s v="Sparrow"/>
    <s v="Paul Sparrow"/>
    <x v="4"/>
    <n v="73333.333333333328"/>
    <s v="15/01/2021"/>
    <s v="2021"/>
    <d v="1985-05-20T00:00:00"/>
    <s v="jack.sparrow@pirate.com"/>
    <s v="3456789012"/>
    <n v="35"/>
    <x v="9"/>
  </r>
  <r>
    <s v="Stark"/>
    <s v="Quincy Stark"/>
    <x v="2"/>
    <n v="75000"/>
    <s v="25/05/2018"/>
    <s v="2018"/>
    <d v="1970-09-05T00:00:00"/>
    <s v="ned.stark@winterfell.com"/>
    <s v="012-345-6789"/>
    <n v="40"/>
    <x v="2"/>
  </r>
  <r>
    <s v="Wonderland"/>
    <s v="Rachel Wonderland"/>
    <x v="3"/>
    <n v="65000"/>
    <s v="10/03/2023"/>
    <s v="2023"/>
    <d v="1995-07-25T00:00:00"/>
    <s v="alice@wonderland.com"/>
    <s v="(234) 567-8901"/>
    <n v="38"/>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3">
  <location ref="I14:J25" firstHeaderRow="1" firstDataRow="1" firstDataCol="1"/>
  <pivotFields count="14">
    <pivotField dataField="1"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items count="6">
        <item x="1"/>
        <item x="2"/>
        <item x="0"/>
        <item x="3"/>
        <item x="4"/>
        <item t="default"/>
      </items>
    </pivotField>
    <pivotField numFmtId="164" showAll="0"/>
    <pivotField showAll="0"/>
    <pivotField axis="axisRow" showAll="0">
      <items count="11">
        <item x="0"/>
        <item x="5"/>
        <item x="7"/>
        <item x="1"/>
        <item x="2"/>
        <item x="3"/>
        <item x="4"/>
        <item x="9"/>
        <item x="6"/>
        <item x="8"/>
        <item t="default"/>
      </items>
    </pivotField>
    <pivotField numFmtId="14" showAll="0"/>
    <pivotField showAll="0"/>
    <pivotField showAll="0"/>
    <pivotField showAll="0"/>
    <pivotField showAll="0"/>
    <pivotField dragToRow="0" dragToCol="0" dragToPage="0" showAll="0" defaultSubtotal="0"/>
  </pivotFields>
  <rowFields count="1">
    <field x="7"/>
  </rowFields>
  <rowItems count="11">
    <i>
      <x/>
    </i>
    <i>
      <x v="1"/>
    </i>
    <i>
      <x v="2"/>
    </i>
    <i>
      <x v="3"/>
    </i>
    <i>
      <x v="4"/>
    </i>
    <i>
      <x v="5"/>
    </i>
    <i>
      <x v="6"/>
    </i>
    <i>
      <x v="7"/>
    </i>
    <i>
      <x v="8"/>
    </i>
    <i>
      <x v="9"/>
    </i>
    <i t="grand">
      <x/>
    </i>
  </rowItems>
  <colItems count="1">
    <i/>
  </colItems>
  <dataFields count="1">
    <dataField name="Count of Employee_ID" fld="0" subtotal="count" baseField="0"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I3:O11" firstHeaderRow="1" firstDataRow="3" firstDataCol="1"/>
  <pivotFields count="11">
    <pivotField showAll="0"/>
    <pivotField dataField="1" showAll="0"/>
    <pivotField axis="axisRow" showAll="0">
      <items count="6">
        <item x="1"/>
        <item x="2"/>
        <item x="0"/>
        <item x="3"/>
        <item x="4"/>
        <item t="default"/>
      </items>
    </pivotField>
    <pivotField dataField="1" numFmtId="164" showAll="0"/>
    <pivotField showAll="0"/>
    <pivotField showAll="0"/>
    <pivotField numFmtId="14" showAll="0"/>
    <pivotField showAll="0"/>
    <pivotField showAll="0"/>
    <pivotField showAll="0"/>
    <pivotField axis="axisCol" showAll="0">
      <items count="4">
        <item x="0"/>
        <item x="1"/>
        <item x="2"/>
        <item t="default"/>
      </items>
    </pivotField>
  </pivotFields>
  <rowFields count="1">
    <field x="2"/>
  </rowFields>
  <rowItems count="6">
    <i>
      <x/>
    </i>
    <i>
      <x v="1"/>
    </i>
    <i>
      <x v="2"/>
    </i>
    <i>
      <x v="3"/>
    </i>
    <i>
      <x v="4"/>
    </i>
    <i t="grand">
      <x/>
    </i>
  </rowItems>
  <colFields count="2">
    <field x="10"/>
    <field x="-2"/>
  </colFields>
  <colItems count="6">
    <i>
      <x/>
      <x/>
    </i>
    <i r="1" i="1">
      <x v="1"/>
    </i>
    <i>
      <x v="1"/>
      <x/>
    </i>
    <i r="1" i="1">
      <x v="1"/>
    </i>
    <i t="grand">
      <x/>
    </i>
    <i t="grand" i="1">
      <x/>
    </i>
  </colItems>
  <dataFields count="2">
    <dataField name="Average of Salary" fld="3" subtotal="average" baseField="0" baseItem="0" numFmtId="164"/>
    <dataField name="Count of Full_Name" fld="1" subtotal="count"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11:C17" firstHeaderRow="0" firstDataRow="1" firstDataCol="1"/>
  <pivotFields count="14">
    <pivotField showAll="0"/>
    <pivotField showAll="0"/>
    <pivotField showAll="0"/>
    <pivotField showAll="0"/>
    <pivotField axis="axisRow" showAll="0" sortType="descending">
      <items count="6">
        <item x="1"/>
        <item x="2"/>
        <item x="0"/>
        <item x="3"/>
        <item x="4"/>
        <item t="default"/>
      </items>
      <autoSortScope>
        <pivotArea dataOnly="0" outline="0" fieldPosition="0">
          <references count="1">
            <reference field="4294967294" count="1" selected="0">
              <x v="0"/>
            </reference>
          </references>
        </pivotArea>
      </autoSortScope>
    </pivotField>
    <pivotField dataField="1" numFmtId="164" showAll="0">
      <items count="12">
        <item x="4"/>
        <item x="9"/>
        <item x="8"/>
        <item x="7"/>
        <item x="3"/>
        <item x="2"/>
        <item x="10"/>
        <item x="1"/>
        <item x="6"/>
        <item x="5"/>
        <item x="0"/>
        <item t="default"/>
      </items>
    </pivotField>
    <pivotField showAll="0"/>
    <pivotField showAll="0"/>
    <pivotField numFmtId="14" showAll="0"/>
    <pivotField showAll="0"/>
    <pivotField showAll="0"/>
    <pivotField showAll="0"/>
    <pivotField showAll="0"/>
    <pivotField dragToRow="0" dragToCol="0" dragToPage="0" showAll="0" defaultSubtotal="0"/>
  </pivotFields>
  <rowFields count="1">
    <field x="4"/>
  </rowFields>
  <rowItems count="6">
    <i>
      <x v="3"/>
    </i>
    <i>
      <x v="2"/>
    </i>
    <i>
      <x/>
    </i>
    <i>
      <x v="1"/>
    </i>
    <i>
      <x v="4"/>
    </i>
    <i t="grand">
      <x/>
    </i>
  </rowItems>
  <colFields count="1">
    <field x="-2"/>
  </colFields>
  <colItems count="2">
    <i>
      <x/>
    </i>
    <i i="1">
      <x v="1"/>
    </i>
  </colItems>
  <dataFields count="2">
    <dataField name="Sum of Salary" fld="5" baseField="0" baseItem="0" numFmtId="164"/>
    <dataField name="Average of Salary" fld="5" subtotal="average" baseField="4" baseItem="3"/>
  </dataFields>
  <formats count="2">
    <format dxfId="6">
      <pivotArea collapsedLevelsAreSubtotals="1" fieldPosition="0">
        <references count="1">
          <reference field="4" count="1">
            <x v="1"/>
          </reference>
        </references>
      </pivotArea>
    </format>
    <format dxfId="5">
      <pivotArea outline="0" collapsedLevelsAreSubtotals="1" fieldPosition="0"/>
    </format>
  </formats>
  <chartFormats count="2">
    <chartFormat chart="6" format="8" series="1">
      <pivotArea type="data" outline="0" fieldPosition="0">
        <references count="1">
          <reference field="4294967294" count="1" selected="0">
            <x v="0"/>
          </reference>
        </references>
      </pivotArea>
    </chartFormat>
    <chartFormat chart="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1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2:B8" firstHeaderRow="1" firstDataRow="1" firstDataCol="1"/>
  <pivotFields count="14">
    <pivotField dataField="1" showAll="0"/>
    <pivotField showAll="0"/>
    <pivotField showAll="0"/>
    <pivotField showAll="0"/>
    <pivotField axis="axisRow" showAll="0" sortType="descending">
      <items count="6">
        <item x="1"/>
        <item x="2"/>
        <item x="0"/>
        <item x="3"/>
        <item x="4"/>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numFmtId="14" showAll="0"/>
    <pivotField showAll="0"/>
    <pivotField showAll="0"/>
    <pivotField showAll="0"/>
    <pivotField showAll="0"/>
    <pivotField dragToRow="0" dragToCol="0" dragToPage="0" showAll="0" defaultSubtotal="0"/>
  </pivotFields>
  <rowFields count="1">
    <field x="4"/>
  </rowFields>
  <rowItems count="6">
    <i>
      <x v="3"/>
    </i>
    <i>
      <x v="2"/>
    </i>
    <i>
      <x/>
    </i>
    <i>
      <x v="1"/>
    </i>
    <i>
      <x v="4"/>
    </i>
    <i t="grand">
      <x/>
    </i>
  </rowItems>
  <colItems count="1">
    <i/>
  </colItems>
  <dataFields count="1">
    <dataField name="Count of Employee_ID" fld="0" subtotal="count" baseField="0" baseItem="0"/>
  </dataFields>
  <chartFormats count="1">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Main data" connectionId="1" autoFormatId="16" applyNumberFormats="0" applyBorderFormats="0" applyFontFormats="0" applyPatternFormats="0" applyAlignmentFormats="0" applyWidthHeightFormats="0"/>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7" name="PivotTable11"/>
    <pivotTable tabId="7" name="PivotTable12"/>
    <pivotTable tabId="7" name="PivotTable14"/>
  </pivotTables>
  <data>
    <tabular pivotCacheId="1">
      <items count="5">
        <i x="1" s="1"/>
        <i x="2"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1" cache="Slicer_Department" caption="Department"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workbookViewId="0">
      <selection activeCell="D15" sqref="D15"/>
    </sheetView>
  </sheetViews>
  <sheetFormatPr defaultRowHeight="15" x14ac:dyDescent="0.25"/>
  <cols>
    <col min="2" max="2" width="9.140625" customWidth="1"/>
    <col min="4" max="4" width="15.42578125" customWidth="1"/>
    <col min="8" max="8" width="15.140625" customWidth="1"/>
  </cols>
  <sheetData>
    <row r="1" spans="1:10" x14ac:dyDescent="0.25">
      <c r="A1" s="5" t="s">
        <v>0</v>
      </c>
      <c r="B1" t="s">
        <v>1</v>
      </c>
      <c r="C1" t="s">
        <v>2</v>
      </c>
      <c r="D1" t="s">
        <v>3</v>
      </c>
      <c r="E1" t="s">
        <v>4</v>
      </c>
      <c r="F1" t="s">
        <v>5</v>
      </c>
      <c r="G1" t="s">
        <v>6</v>
      </c>
      <c r="H1" t="s">
        <v>7</v>
      </c>
      <c r="I1" t="s">
        <v>8</v>
      </c>
      <c r="J1" t="s">
        <v>9</v>
      </c>
    </row>
    <row r="2" spans="1:10" x14ac:dyDescent="0.25">
      <c r="A2" s="5">
        <v>1</v>
      </c>
      <c r="B2" t="s">
        <v>10</v>
      </c>
      <c r="C2" t="s">
        <v>11</v>
      </c>
      <c r="D2">
        <v>50000</v>
      </c>
      <c r="E2" s="1">
        <v>43831</v>
      </c>
      <c r="F2" s="1">
        <v>29356</v>
      </c>
      <c r="G2" t="s">
        <v>12</v>
      </c>
      <c r="H2" t="s">
        <v>13</v>
      </c>
      <c r="I2">
        <v>40</v>
      </c>
      <c r="J2">
        <v>3.5</v>
      </c>
    </row>
    <row r="3" spans="1:10" x14ac:dyDescent="0.25">
      <c r="A3" s="5">
        <v>14</v>
      </c>
      <c r="B3" t="s">
        <v>14</v>
      </c>
      <c r="D3" s="2">
        <v>65000</v>
      </c>
      <c r="E3" s="1">
        <v>44995</v>
      </c>
      <c r="F3" s="1">
        <v>34905</v>
      </c>
      <c r="G3" t="s">
        <v>15</v>
      </c>
      <c r="H3" t="s">
        <v>16</v>
      </c>
      <c r="I3">
        <v>38</v>
      </c>
      <c r="J3">
        <v>3.2</v>
      </c>
    </row>
    <row r="4" spans="1:10" x14ac:dyDescent="0.25">
      <c r="A4" s="5">
        <v>9</v>
      </c>
      <c r="B4" t="s">
        <v>17</v>
      </c>
      <c r="C4" t="s">
        <v>18</v>
      </c>
      <c r="E4" s="3">
        <v>42224</v>
      </c>
      <c r="F4" s="3">
        <v>20448</v>
      </c>
      <c r="G4" t="s">
        <v>19</v>
      </c>
      <c r="H4">
        <v>9012345678</v>
      </c>
      <c r="I4">
        <v>39</v>
      </c>
      <c r="J4">
        <v>3</v>
      </c>
    </row>
    <row r="5" spans="1:10" x14ac:dyDescent="0.25">
      <c r="A5" s="5">
        <v>2</v>
      </c>
      <c r="B5" t="s">
        <v>20</v>
      </c>
      <c r="D5" s="4">
        <v>55000</v>
      </c>
      <c r="E5" s="1">
        <v>44211</v>
      </c>
      <c r="F5" s="1">
        <v>31187</v>
      </c>
      <c r="G5" t="s">
        <v>21</v>
      </c>
      <c r="H5" t="s">
        <v>22</v>
      </c>
      <c r="I5">
        <v>35</v>
      </c>
      <c r="J5">
        <v>4</v>
      </c>
    </row>
    <row r="6" spans="1:10" x14ac:dyDescent="0.25">
      <c r="A6" s="5">
        <v>16</v>
      </c>
      <c r="B6" t="s">
        <v>23</v>
      </c>
      <c r="C6" t="s">
        <v>24</v>
      </c>
      <c r="D6" s="4">
        <v>75000</v>
      </c>
      <c r="E6" s="3">
        <v>43245</v>
      </c>
      <c r="F6" s="1">
        <v>25816</v>
      </c>
      <c r="G6" t="s">
        <v>25</v>
      </c>
      <c r="H6" t="s">
        <v>26</v>
      </c>
      <c r="I6">
        <v>40</v>
      </c>
      <c r="J6">
        <v>5</v>
      </c>
    </row>
    <row r="7" spans="1:10" x14ac:dyDescent="0.25">
      <c r="A7" s="5">
        <v>6</v>
      </c>
      <c r="B7" t="s">
        <v>27</v>
      </c>
      <c r="C7" t="s">
        <v>24</v>
      </c>
      <c r="E7" s="3">
        <v>43245</v>
      </c>
      <c r="F7" s="1">
        <v>25816</v>
      </c>
      <c r="G7" t="s">
        <v>28</v>
      </c>
      <c r="H7" t="s">
        <v>26</v>
      </c>
      <c r="I7">
        <v>40</v>
      </c>
      <c r="J7">
        <v>5</v>
      </c>
    </row>
    <row r="8" spans="1:10" x14ac:dyDescent="0.25">
      <c r="A8" s="5">
        <v>5</v>
      </c>
      <c r="B8" t="s">
        <v>10</v>
      </c>
      <c r="C8" t="s">
        <v>29</v>
      </c>
      <c r="D8" s="2">
        <v>50000</v>
      </c>
      <c r="E8" s="1">
        <v>43831</v>
      </c>
      <c r="F8" s="1">
        <v>29356</v>
      </c>
      <c r="G8" t="s">
        <v>12</v>
      </c>
      <c r="H8">
        <v>1234567890</v>
      </c>
      <c r="I8">
        <v>40</v>
      </c>
      <c r="J8" t="s">
        <v>30</v>
      </c>
    </row>
    <row r="9" spans="1:10" x14ac:dyDescent="0.25">
      <c r="A9" s="5">
        <v>12</v>
      </c>
      <c r="B9" t="s">
        <v>31</v>
      </c>
      <c r="C9" t="s">
        <v>32</v>
      </c>
      <c r="E9" s="1">
        <v>44211</v>
      </c>
      <c r="F9" s="1">
        <v>31187</v>
      </c>
      <c r="G9" t="s">
        <v>33</v>
      </c>
      <c r="H9" t="s">
        <v>22</v>
      </c>
      <c r="I9">
        <v>35</v>
      </c>
      <c r="J9">
        <v>4</v>
      </c>
    </row>
    <row r="10" spans="1:10" x14ac:dyDescent="0.25">
      <c r="A10" s="5">
        <v>4</v>
      </c>
      <c r="B10" t="s">
        <v>34</v>
      </c>
      <c r="C10" t="s">
        <v>35</v>
      </c>
      <c r="D10" s="2">
        <v>65000</v>
      </c>
      <c r="E10" s="1">
        <v>44995</v>
      </c>
      <c r="F10" s="1">
        <v>34905</v>
      </c>
      <c r="G10" t="s">
        <v>36</v>
      </c>
      <c r="H10" t="s">
        <v>16</v>
      </c>
      <c r="I10">
        <v>38</v>
      </c>
      <c r="J10">
        <v>3.2</v>
      </c>
    </row>
    <row r="11" spans="1:10" x14ac:dyDescent="0.25">
      <c r="A11" s="5">
        <v>5</v>
      </c>
      <c r="B11" t="s">
        <v>37</v>
      </c>
      <c r="D11">
        <v>70000</v>
      </c>
      <c r="E11" s="1">
        <v>43575</v>
      </c>
      <c r="F11" s="1">
        <v>27636</v>
      </c>
      <c r="G11" t="s">
        <v>38</v>
      </c>
      <c r="H11">
        <v>5678901234</v>
      </c>
      <c r="I11">
        <v>42</v>
      </c>
      <c r="J11">
        <v>4.5</v>
      </c>
    </row>
    <row r="12" spans="1:10" x14ac:dyDescent="0.25">
      <c r="A12" s="5">
        <v>18</v>
      </c>
      <c r="B12" t="s">
        <v>39</v>
      </c>
      <c r="C12" t="s">
        <v>40</v>
      </c>
      <c r="D12" s="2">
        <v>85000</v>
      </c>
      <c r="E12" s="1">
        <v>42558</v>
      </c>
      <c r="F12" s="1">
        <v>22240</v>
      </c>
      <c r="G12" t="s">
        <v>41</v>
      </c>
      <c r="H12" t="s">
        <v>42</v>
      </c>
      <c r="I12">
        <v>41</v>
      </c>
      <c r="J12">
        <v>2.5</v>
      </c>
    </row>
    <row r="13" spans="1:10" x14ac:dyDescent="0.25">
      <c r="A13" s="5">
        <v>13</v>
      </c>
      <c r="B13" t="s">
        <v>43</v>
      </c>
      <c r="C13" t="s">
        <v>44</v>
      </c>
      <c r="D13">
        <v>60000</v>
      </c>
      <c r="E13" s="3">
        <v>44597</v>
      </c>
      <c r="F13" s="3">
        <v>33034</v>
      </c>
      <c r="G13" t="s">
        <v>45</v>
      </c>
      <c r="H13">
        <v>3456789012</v>
      </c>
      <c r="I13">
        <v>45</v>
      </c>
      <c r="J13">
        <v>2.8</v>
      </c>
    </row>
    <row r="14" spans="1:10" x14ac:dyDescent="0.25">
      <c r="A14" s="5">
        <v>19</v>
      </c>
      <c r="B14" t="s">
        <v>46</v>
      </c>
      <c r="C14" t="s">
        <v>18</v>
      </c>
      <c r="D14">
        <v>90000</v>
      </c>
      <c r="E14" s="3">
        <v>42224</v>
      </c>
      <c r="F14" s="3">
        <v>20448</v>
      </c>
      <c r="G14" t="s">
        <v>47</v>
      </c>
      <c r="H14">
        <v>9012345678</v>
      </c>
      <c r="I14">
        <v>39</v>
      </c>
      <c r="J14">
        <v>3</v>
      </c>
    </row>
    <row r="15" spans="1:10" x14ac:dyDescent="0.25">
      <c r="A15" s="5">
        <v>17</v>
      </c>
      <c r="B15" t="s">
        <v>48</v>
      </c>
      <c r="C15" t="s">
        <v>49</v>
      </c>
      <c r="D15">
        <v>80000</v>
      </c>
      <c r="E15" s="1">
        <v>42916</v>
      </c>
      <c r="F15" s="3">
        <v>24030</v>
      </c>
      <c r="G15" t="s">
        <v>50</v>
      </c>
      <c r="H15">
        <v>7890123456</v>
      </c>
      <c r="I15">
        <v>37</v>
      </c>
      <c r="J15">
        <v>1.9</v>
      </c>
    </row>
    <row r="16" spans="1:10" x14ac:dyDescent="0.25">
      <c r="A16" s="5">
        <v>3</v>
      </c>
      <c r="B16" t="s">
        <v>51</v>
      </c>
      <c r="C16" t="s">
        <v>44</v>
      </c>
      <c r="E16" s="3">
        <v>44597</v>
      </c>
      <c r="F16" s="3">
        <v>33034</v>
      </c>
      <c r="G16" t="s">
        <v>52</v>
      </c>
      <c r="H16">
        <v>3456789012</v>
      </c>
      <c r="I16">
        <v>45</v>
      </c>
      <c r="J16">
        <v>2.8</v>
      </c>
    </row>
    <row r="17" spans="1:10" x14ac:dyDescent="0.25">
      <c r="A17" s="5">
        <v>10</v>
      </c>
      <c r="B17" t="s">
        <v>53</v>
      </c>
      <c r="C17" t="s">
        <v>54</v>
      </c>
      <c r="D17" s="4">
        <v>95000</v>
      </c>
      <c r="E17" s="1">
        <v>41891</v>
      </c>
      <c r="F17" s="1">
        <v>18264</v>
      </c>
      <c r="G17" t="s">
        <v>55</v>
      </c>
      <c r="H17" t="s">
        <v>56</v>
      </c>
      <c r="I17">
        <v>43</v>
      </c>
      <c r="J17">
        <v>4.2</v>
      </c>
    </row>
    <row r="18" spans="1:10" x14ac:dyDescent="0.25">
      <c r="A18" s="5">
        <v>10</v>
      </c>
      <c r="B18" t="s">
        <v>20</v>
      </c>
      <c r="C18" t="s">
        <v>57</v>
      </c>
      <c r="D18">
        <v>55000</v>
      </c>
      <c r="E18" s="1">
        <v>44211</v>
      </c>
      <c r="F18" s="1">
        <v>31187</v>
      </c>
      <c r="G18" t="s">
        <v>21</v>
      </c>
      <c r="H18" t="s">
        <v>58</v>
      </c>
      <c r="I18">
        <v>35</v>
      </c>
      <c r="J18">
        <v>4</v>
      </c>
    </row>
    <row r="19" spans="1:10" x14ac:dyDescent="0.25">
      <c r="A19" s="5">
        <v>8</v>
      </c>
      <c r="B19" t="s">
        <v>59</v>
      </c>
      <c r="D19" s="2">
        <v>85000</v>
      </c>
      <c r="E19" s="1">
        <v>42558</v>
      </c>
      <c r="F19" s="1">
        <v>22240</v>
      </c>
      <c r="G19" t="s">
        <v>60</v>
      </c>
      <c r="H19" t="s">
        <v>42</v>
      </c>
      <c r="I19">
        <v>41</v>
      </c>
      <c r="J19">
        <v>2.5</v>
      </c>
    </row>
    <row r="20" spans="1:10" x14ac:dyDescent="0.25">
      <c r="A20" s="5">
        <v>11</v>
      </c>
      <c r="B20" t="s">
        <v>61</v>
      </c>
      <c r="D20">
        <v>50000</v>
      </c>
      <c r="E20" s="1">
        <v>43831</v>
      </c>
      <c r="F20" s="1">
        <v>29356</v>
      </c>
      <c r="G20" t="s">
        <v>62</v>
      </c>
      <c r="H20" t="s">
        <v>13</v>
      </c>
      <c r="I20">
        <v>40</v>
      </c>
      <c r="J20">
        <v>3.5</v>
      </c>
    </row>
    <row r="21" spans="1:10" x14ac:dyDescent="0.25">
      <c r="A21" s="5">
        <v>15</v>
      </c>
      <c r="B21" t="s">
        <v>63</v>
      </c>
      <c r="C21" t="s">
        <v>64</v>
      </c>
      <c r="E21" s="1">
        <v>43575</v>
      </c>
      <c r="F21" s="1">
        <v>27636</v>
      </c>
      <c r="G21" t="s">
        <v>65</v>
      </c>
      <c r="H21">
        <v>5678901234</v>
      </c>
      <c r="I21">
        <v>42</v>
      </c>
      <c r="J21">
        <v>4.5</v>
      </c>
    </row>
    <row r="22" spans="1:10" x14ac:dyDescent="0.25">
      <c r="A22" s="5">
        <v>20</v>
      </c>
      <c r="B22" t="s">
        <v>66</v>
      </c>
      <c r="C22" t="s">
        <v>54</v>
      </c>
      <c r="D22" s="4">
        <v>95000</v>
      </c>
      <c r="E22" s="1">
        <v>41891</v>
      </c>
      <c r="F22" s="1">
        <v>18264</v>
      </c>
      <c r="G22" t="s">
        <v>67</v>
      </c>
      <c r="H22" t="s">
        <v>56</v>
      </c>
      <c r="I22">
        <v>43</v>
      </c>
      <c r="J22">
        <v>4.2</v>
      </c>
    </row>
    <row r="23" spans="1:10" x14ac:dyDescent="0.25">
      <c r="A23" s="5">
        <v>7</v>
      </c>
      <c r="B23" t="s">
        <v>68</v>
      </c>
      <c r="C23" t="s">
        <v>49</v>
      </c>
      <c r="D23">
        <v>80000</v>
      </c>
      <c r="E23" s="1">
        <v>42916</v>
      </c>
      <c r="F23" s="3">
        <v>24030</v>
      </c>
      <c r="G23" t="s">
        <v>69</v>
      </c>
      <c r="H23">
        <v>7890123456</v>
      </c>
      <c r="I23">
        <v>37</v>
      </c>
      <c r="J23">
        <v>1.9</v>
      </c>
    </row>
  </sheetData>
  <autoFilter ref="A1:J2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workbookViewId="0">
      <selection activeCell="B14" sqref="B14"/>
    </sheetView>
  </sheetViews>
  <sheetFormatPr defaultRowHeight="15" x14ac:dyDescent="0.25"/>
  <cols>
    <col min="1" max="1" width="15.7109375" customWidth="1"/>
    <col min="2" max="2" width="17.5703125" bestFit="1" customWidth="1"/>
    <col min="3" max="4" width="17.5703125" customWidth="1"/>
    <col min="5" max="5" width="15.85546875" customWidth="1"/>
    <col min="6" max="6" width="10.42578125" style="6" customWidth="1"/>
    <col min="7" max="8" width="13.85546875" style="1" customWidth="1"/>
    <col min="9" max="9" width="12.85546875" style="1" customWidth="1"/>
    <col min="10" max="10" width="24.28515625" customWidth="1"/>
    <col min="11" max="11" width="15.140625" style="7" customWidth="1"/>
    <col min="12" max="12" width="13.7109375" customWidth="1"/>
    <col min="13" max="13" width="18.7109375" customWidth="1"/>
    <col min="14" max="14" width="9.140625" customWidth="1"/>
  </cols>
  <sheetData>
    <row r="1" spans="1:13" x14ac:dyDescent="0.25">
      <c r="A1" t="s">
        <v>134</v>
      </c>
      <c r="B1" t="s">
        <v>135</v>
      </c>
      <c r="C1" t="s">
        <v>131</v>
      </c>
      <c r="D1" t="s">
        <v>136</v>
      </c>
      <c r="E1" t="s">
        <v>2</v>
      </c>
      <c r="F1" s="6" t="s">
        <v>3</v>
      </c>
      <c r="G1" s="1" t="s">
        <v>137</v>
      </c>
      <c r="H1" s="1" t="s">
        <v>153</v>
      </c>
      <c r="I1" s="1" t="s">
        <v>138</v>
      </c>
      <c r="J1" t="s">
        <v>6</v>
      </c>
      <c r="K1" s="7" t="s">
        <v>132</v>
      </c>
      <c r="L1" t="s">
        <v>8</v>
      </c>
      <c r="M1" t="s">
        <v>9</v>
      </c>
    </row>
    <row r="2" spans="1:13" x14ac:dyDescent="0.25">
      <c r="A2">
        <v>1</v>
      </c>
      <c r="B2" t="s">
        <v>91</v>
      </c>
      <c r="C2" t="s">
        <v>94</v>
      </c>
      <c r="D2" t="str">
        <f t="shared" ref="D2:D21" si="0">CONCATENATE(B2, " ", C2)</f>
        <v>John Aaron</v>
      </c>
      <c r="E2" t="s">
        <v>18</v>
      </c>
      <c r="F2" s="6">
        <v>95000</v>
      </c>
      <c r="G2" s="1" t="s">
        <v>144</v>
      </c>
      <c r="H2" s="1" t="str">
        <f t="shared" ref="H2:H21" si="1">RIGHT(G2, 4)</f>
        <v>2014</v>
      </c>
      <c r="I2" s="1">
        <v>18264</v>
      </c>
      <c r="J2" t="s">
        <v>82</v>
      </c>
      <c r="K2" s="7" t="s">
        <v>75</v>
      </c>
      <c r="L2">
        <v>43</v>
      </c>
      <c r="M2">
        <v>4.2</v>
      </c>
    </row>
    <row r="3" spans="1:13" x14ac:dyDescent="0.25">
      <c r="A3">
        <v>2</v>
      </c>
      <c r="B3" t="s">
        <v>93</v>
      </c>
      <c r="C3" t="s">
        <v>104</v>
      </c>
      <c r="D3" t="str">
        <f t="shared" si="0"/>
        <v>Hank Adams</v>
      </c>
      <c r="E3" t="s">
        <v>49</v>
      </c>
      <c r="F3" s="6">
        <v>80000</v>
      </c>
      <c r="G3" s="1" t="s">
        <v>149</v>
      </c>
      <c r="H3" s="1" t="str">
        <f t="shared" si="1"/>
        <v>2017</v>
      </c>
      <c r="I3" s="1">
        <v>24030</v>
      </c>
      <c r="J3" t="s">
        <v>69</v>
      </c>
      <c r="K3" s="7" t="s">
        <v>133</v>
      </c>
      <c r="L3">
        <v>37</v>
      </c>
      <c r="M3">
        <v>1.9</v>
      </c>
    </row>
    <row r="4" spans="1:13" x14ac:dyDescent="0.25">
      <c r="A4">
        <v>3</v>
      </c>
      <c r="B4" t="s">
        <v>95</v>
      </c>
      <c r="C4" t="s">
        <v>102</v>
      </c>
      <c r="D4" t="str">
        <f t="shared" si="0"/>
        <v>Bob Beckham</v>
      </c>
      <c r="E4" t="s">
        <v>64</v>
      </c>
      <c r="F4" s="6">
        <v>73333.333333333328</v>
      </c>
      <c r="G4" s="1" t="s">
        <v>148</v>
      </c>
      <c r="H4" s="1" t="str">
        <f t="shared" si="1"/>
        <v>2018</v>
      </c>
      <c r="I4" s="1">
        <v>25816</v>
      </c>
      <c r="J4" t="s">
        <v>72</v>
      </c>
      <c r="K4" s="7" t="s">
        <v>26</v>
      </c>
      <c r="L4">
        <v>40</v>
      </c>
      <c r="M4">
        <v>5</v>
      </c>
    </row>
    <row r="5" spans="1:13" x14ac:dyDescent="0.25">
      <c r="A5">
        <v>4</v>
      </c>
      <c r="B5" t="s">
        <v>97</v>
      </c>
      <c r="C5" t="s">
        <v>100</v>
      </c>
      <c r="D5" t="str">
        <f t="shared" si="0"/>
        <v>Alice Brown</v>
      </c>
      <c r="E5" t="s">
        <v>44</v>
      </c>
      <c r="F5" s="6">
        <v>70000</v>
      </c>
      <c r="G5" s="1" t="s">
        <v>147</v>
      </c>
      <c r="H5" s="1" t="str">
        <f t="shared" si="1"/>
        <v>2019</v>
      </c>
      <c r="I5" s="1">
        <v>27636</v>
      </c>
      <c r="J5" t="s">
        <v>84</v>
      </c>
      <c r="K5" s="7" t="s">
        <v>26</v>
      </c>
      <c r="L5">
        <v>42</v>
      </c>
      <c r="M5">
        <v>4.5</v>
      </c>
    </row>
    <row r="6" spans="1:13" x14ac:dyDescent="0.25">
      <c r="A6">
        <v>5</v>
      </c>
      <c r="B6" t="s">
        <v>99</v>
      </c>
      <c r="C6" t="s">
        <v>92</v>
      </c>
      <c r="D6" t="str">
        <f t="shared" si="0"/>
        <v>Charlie Doe</v>
      </c>
      <c r="E6" t="s">
        <v>11</v>
      </c>
      <c r="F6" s="6">
        <v>50000</v>
      </c>
      <c r="G6" s="1" t="s">
        <v>143</v>
      </c>
      <c r="H6" s="1" t="str">
        <f t="shared" si="1"/>
        <v>2020</v>
      </c>
      <c r="I6" s="1">
        <v>29356</v>
      </c>
      <c r="J6" t="s">
        <v>12</v>
      </c>
      <c r="K6" s="7" t="s">
        <v>13</v>
      </c>
      <c r="L6">
        <v>40</v>
      </c>
      <c r="M6">
        <v>3.5</v>
      </c>
    </row>
    <row r="7" spans="1:13" x14ac:dyDescent="0.25">
      <c r="A7">
        <v>6</v>
      </c>
      <c r="B7" t="s">
        <v>101</v>
      </c>
      <c r="C7" t="s">
        <v>130</v>
      </c>
      <c r="D7" t="str">
        <f t="shared" si="0"/>
        <v>David Green</v>
      </c>
      <c r="E7" t="s">
        <v>18</v>
      </c>
      <c r="F7" s="6">
        <v>95000</v>
      </c>
      <c r="G7" s="1" t="s">
        <v>144</v>
      </c>
      <c r="H7" s="1" t="str">
        <f t="shared" si="1"/>
        <v>2014</v>
      </c>
      <c r="I7" s="1">
        <v>18264</v>
      </c>
      <c r="J7" t="s">
        <v>90</v>
      </c>
      <c r="K7" s="7" t="s">
        <v>77</v>
      </c>
      <c r="L7">
        <v>43</v>
      </c>
      <c r="M7">
        <v>4.2</v>
      </c>
    </row>
    <row r="8" spans="1:13" x14ac:dyDescent="0.25">
      <c r="A8">
        <v>7</v>
      </c>
      <c r="B8" t="s">
        <v>103</v>
      </c>
      <c r="C8" t="s">
        <v>108</v>
      </c>
      <c r="D8" t="str">
        <f t="shared" si="0"/>
        <v>Eve Hopper</v>
      </c>
      <c r="E8" t="s">
        <v>18</v>
      </c>
      <c r="F8" s="6">
        <v>73333.333333333328</v>
      </c>
      <c r="G8" s="1" t="s">
        <v>151</v>
      </c>
      <c r="H8" s="1" t="str">
        <f t="shared" si="1"/>
        <v>2015</v>
      </c>
      <c r="I8" s="1">
        <v>20448</v>
      </c>
      <c r="J8" t="s">
        <v>19</v>
      </c>
      <c r="K8" s="7" t="s">
        <v>75</v>
      </c>
      <c r="L8">
        <v>39</v>
      </c>
      <c r="M8">
        <v>3</v>
      </c>
    </row>
    <row r="9" spans="1:13" x14ac:dyDescent="0.25">
      <c r="A9">
        <v>8</v>
      </c>
      <c r="B9" t="s">
        <v>105</v>
      </c>
      <c r="C9" t="s">
        <v>96</v>
      </c>
      <c r="D9" t="str">
        <f t="shared" si="0"/>
        <v>Frank Johnson</v>
      </c>
      <c r="E9" t="s">
        <v>44</v>
      </c>
      <c r="F9" s="6">
        <v>73333.333333333328</v>
      </c>
      <c r="G9" s="1" t="s">
        <v>145</v>
      </c>
      <c r="H9" s="1" t="str">
        <f t="shared" si="1"/>
        <v>2022</v>
      </c>
      <c r="I9" s="1">
        <v>33034</v>
      </c>
      <c r="J9" t="s">
        <v>52</v>
      </c>
      <c r="K9" s="7" t="s">
        <v>76</v>
      </c>
      <c r="L9">
        <v>45</v>
      </c>
      <c r="M9">
        <v>2.8</v>
      </c>
    </row>
    <row r="10" spans="1:13" x14ac:dyDescent="0.25">
      <c r="A10">
        <v>9</v>
      </c>
      <c r="B10" t="s">
        <v>107</v>
      </c>
      <c r="C10" t="s">
        <v>128</v>
      </c>
      <c r="D10" t="str">
        <f t="shared" si="0"/>
        <v>Grace Jones</v>
      </c>
      <c r="E10" t="s">
        <v>18</v>
      </c>
      <c r="F10" s="6">
        <v>90000</v>
      </c>
      <c r="G10" s="1" t="s">
        <v>151</v>
      </c>
      <c r="H10" s="1" t="str">
        <f t="shared" si="1"/>
        <v>2015</v>
      </c>
      <c r="I10" s="1">
        <v>20448</v>
      </c>
      <c r="J10" t="s">
        <v>47</v>
      </c>
      <c r="K10" s="7" t="s">
        <v>13</v>
      </c>
      <c r="L10">
        <v>39</v>
      </c>
      <c r="M10">
        <v>3</v>
      </c>
    </row>
    <row r="11" spans="1:13" x14ac:dyDescent="0.25">
      <c r="A11">
        <v>10</v>
      </c>
      <c r="B11" t="s">
        <v>109</v>
      </c>
      <c r="C11" t="s">
        <v>112</v>
      </c>
      <c r="D11" t="str">
        <f t="shared" si="0"/>
        <v>Jane League</v>
      </c>
      <c r="E11" t="s">
        <v>44</v>
      </c>
      <c r="F11" s="6">
        <v>50000</v>
      </c>
      <c r="G11" s="1" t="s">
        <v>143</v>
      </c>
      <c r="H11" s="1" t="str">
        <f t="shared" si="1"/>
        <v>2020</v>
      </c>
      <c r="I11" s="1">
        <v>29356</v>
      </c>
      <c r="J11" t="s">
        <v>62</v>
      </c>
      <c r="K11" s="7" t="s">
        <v>78</v>
      </c>
      <c r="L11">
        <v>40</v>
      </c>
      <c r="M11">
        <v>3.5</v>
      </c>
    </row>
    <row r="12" spans="1:13" x14ac:dyDescent="0.25">
      <c r="A12">
        <v>11</v>
      </c>
      <c r="B12" t="s">
        <v>111</v>
      </c>
      <c r="C12" t="s">
        <v>120</v>
      </c>
      <c r="D12" t="str">
        <f t="shared" si="0"/>
        <v>Ivy Lisa</v>
      </c>
      <c r="E12" t="s">
        <v>64</v>
      </c>
      <c r="F12" s="6">
        <v>73333.333333333328</v>
      </c>
      <c r="G12" s="1" t="s">
        <v>147</v>
      </c>
      <c r="H12" s="1" t="str">
        <f t="shared" si="1"/>
        <v>2019</v>
      </c>
      <c r="I12" s="1">
        <v>27636</v>
      </c>
      <c r="J12" t="s">
        <v>87</v>
      </c>
      <c r="K12" s="7" t="s">
        <v>79</v>
      </c>
      <c r="L12">
        <v>42</v>
      </c>
      <c r="M12">
        <v>4.5</v>
      </c>
    </row>
    <row r="13" spans="1:13" x14ac:dyDescent="0.25">
      <c r="A13">
        <v>12</v>
      </c>
      <c r="B13" t="s">
        <v>113</v>
      </c>
      <c r="C13" t="s">
        <v>126</v>
      </c>
      <c r="D13" t="str">
        <f t="shared" si="0"/>
        <v>Jack McCartney</v>
      </c>
      <c r="E13" t="s">
        <v>49</v>
      </c>
      <c r="F13" s="6">
        <v>85000</v>
      </c>
      <c r="G13" s="1" t="s">
        <v>150</v>
      </c>
      <c r="H13" s="1" t="str">
        <f t="shared" si="1"/>
        <v>2016</v>
      </c>
      <c r="I13" s="1">
        <v>22240</v>
      </c>
      <c r="J13" t="s">
        <v>89</v>
      </c>
      <c r="K13" s="7" t="s">
        <v>78</v>
      </c>
      <c r="L13">
        <v>41</v>
      </c>
      <c r="M13">
        <v>2.5</v>
      </c>
    </row>
    <row r="14" spans="1:13" x14ac:dyDescent="0.25">
      <c r="A14">
        <v>13</v>
      </c>
      <c r="B14" t="s">
        <v>115</v>
      </c>
      <c r="C14" t="s">
        <v>124</v>
      </c>
      <c r="D14" t="str">
        <f t="shared" si="0"/>
        <v>Katy Newton</v>
      </c>
      <c r="E14" t="s">
        <v>49</v>
      </c>
      <c r="F14" s="6">
        <v>80000</v>
      </c>
      <c r="G14" s="1" t="s">
        <v>149</v>
      </c>
      <c r="H14" s="1" t="str">
        <f t="shared" si="1"/>
        <v>2017</v>
      </c>
      <c r="I14" s="1">
        <v>24030</v>
      </c>
      <c r="J14" t="s">
        <v>50</v>
      </c>
      <c r="K14" s="7" t="s">
        <v>74</v>
      </c>
      <c r="L14">
        <v>37</v>
      </c>
      <c r="M14">
        <v>1.9</v>
      </c>
    </row>
    <row r="15" spans="1:13" x14ac:dyDescent="0.25">
      <c r="A15">
        <v>14</v>
      </c>
      <c r="B15" t="s">
        <v>117</v>
      </c>
      <c r="C15" t="s">
        <v>118</v>
      </c>
      <c r="D15" t="str">
        <f t="shared" si="0"/>
        <v>Larry Page</v>
      </c>
      <c r="E15" t="s">
        <v>44</v>
      </c>
      <c r="F15" s="6">
        <v>65000</v>
      </c>
      <c r="G15" s="1" t="s">
        <v>146</v>
      </c>
      <c r="H15" s="1" t="str">
        <f t="shared" si="1"/>
        <v>2023</v>
      </c>
      <c r="I15" s="1">
        <v>34905</v>
      </c>
      <c r="J15" t="s">
        <v>71</v>
      </c>
      <c r="K15" s="7" t="s">
        <v>80</v>
      </c>
      <c r="L15">
        <v>38</v>
      </c>
      <c r="M15">
        <v>3.2</v>
      </c>
    </row>
    <row r="16" spans="1:13" x14ac:dyDescent="0.25">
      <c r="A16">
        <v>15</v>
      </c>
      <c r="B16" t="s">
        <v>119</v>
      </c>
      <c r="C16" t="s">
        <v>116</v>
      </c>
      <c r="D16" t="str">
        <f t="shared" si="0"/>
        <v>Mona Perry</v>
      </c>
      <c r="E16" t="s">
        <v>44</v>
      </c>
      <c r="F16" s="6">
        <v>60000</v>
      </c>
      <c r="G16" s="1" t="s">
        <v>145</v>
      </c>
      <c r="H16" s="1" t="str">
        <f t="shared" si="1"/>
        <v>2022</v>
      </c>
      <c r="I16" s="1">
        <v>33034</v>
      </c>
      <c r="J16" t="s">
        <v>73</v>
      </c>
      <c r="K16" s="7" t="s">
        <v>76</v>
      </c>
      <c r="L16">
        <v>45</v>
      </c>
      <c r="M16">
        <v>2.8</v>
      </c>
    </row>
    <row r="17" spans="1:13" x14ac:dyDescent="0.25">
      <c r="A17">
        <v>16</v>
      </c>
      <c r="B17" t="s">
        <v>121</v>
      </c>
      <c r="C17" t="s">
        <v>106</v>
      </c>
      <c r="D17" t="str">
        <f t="shared" si="0"/>
        <v>Ned Sinatra</v>
      </c>
      <c r="E17" t="s">
        <v>44</v>
      </c>
      <c r="F17" s="6">
        <v>85000</v>
      </c>
      <c r="G17" s="1" t="s">
        <v>150</v>
      </c>
      <c r="H17" s="1" t="str">
        <f t="shared" si="1"/>
        <v>2016</v>
      </c>
      <c r="I17" s="1">
        <v>22240</v>
      </c>
      <c r="J17" t="s">
        <v>85</v>
      </c>
      <c r="K17" s="7" t="s">
        <v>22</v>
      </c>
      <c r="L17">
        <v>41</v>
      </c>
      <c r="M17">
        <v>2.5</v>
      </c>
    </row>
    <row r="18" spans="1:13" x14ac:dyDescent="0.25">
      <c r="A18">
        <v>17</v>
      </c>
      <c r="B18" t="s">
        <v>123</v>
      </c>
      <c r="C18" t="s">
        <v>110</v>
      </c>
      <c r="D18" t="str">
        <f t="shared" si="0"/>
        <v>Olivia Smith</v>
      </c>
      <c r="E18" t="s">
        <v>44</v>
      </c>
      <c r="F18" s="6">
        <v>55000</v>
      </c>
      <c r="G18" s="1" t="s">
        <v>152</v>
      </c>
      <c r="H18" s="1" t="str">
        <f t="shared" si="1"/>
        <v>2021</v>
      </c>
      <c r="I18" s="1">
        <v>31187</v>
      </c>
      <c r="J18" t="s">
        <v>70</v>
      </c>
      <c r="K18" s="7" t="s">
        <v>77</v>
      </c>
      <c r="L18">
        <v>35</v>
      </c>
      <c r="M18">
        <v>4</v>
      </c>
    </row>
    <row r="19" spans="1:13" x14ac:dyDescent="0.25">
      <c r="A19">
        <v>18</v>
      </c>
      <c r="B19" t="s">
        <v>125</v>
      </c>
      <c r="C19" t="s">
        <v>114</v>
      </c>
      <c r="D19" t="str">
        <f t="shared" si="0"/>
        <v>Paul Sparrow</v>
      </c>
      <c r="E19" t="s">
        <v>11</v>
      </c>
      <c r="F19" s="6">
        <v>73333.333333333328</v>
      </c>
      <c r="G19" s="1" t="s">
        <v>152</v>
      </c>
      <c r="H19" s="1" t="str">
        <f t="shared" si="1"/>
        <v>2021</v>
      </c>
      <c r="I19" s="1">
        <v>31187</v>
      </c>
      <c r="J19" t="s">
        <v>86</v>
      </c>
      <c r="K19" s="7" t="s">
        <v>79</v>
      </c>
      <c r="L19">
        <v>35</v>
      </c>
      <c r="M19">
        <v>4</v>
      </c>
    </row>
    <row r="20" spans="1:13" x14ac:dyDescent="0.25">
      <c r="A20">
        <v>19</v>
      </c>
      <c r="B20" t="s">
        <v>127</v>
      </c>
      <c r="C20" t="s">
        <v>122</v>
      </c>
      <c r="D20" t="str">
        <f t="shared" si="0"/>
        <v>Quincy Stark</v>
      </c>
      <c r="E20" t="s">
        <v>64</v>
      </c>
      <c r="F20" s="6">
        <v>75000</v>
      </c>
      <c r="G20" s="1" t="s">
        <v>148</v>
      </c>
      <c r="H20" s="1" t="str">
        <f t="shared" si="1"/>
        <v>2018</v>
      </c>
      <c r="I20" s="1">
        <v>25816</v>
      </c>
      <c r="J20" t="s">
        <v>88</v>
      </c>
      <c r="K20" s="7" t="s">
        <v>81</v>
      </c>
      <c r="L20">
        <v>40</v>
      </c>
      <c r="M20">
        <v>5</v>
      </c>
    </row>
    <row r="21" spans="1:13" x14ac:dyDescent="0.25">
      <c r="A21">
        <v>20</v>
      </c>
      <c r="B21" t="s">
        <v>129</v>
      </c>
      <c r="C21" t="s">
        <v>98</v>
      </c>
      <c r="D21" t="str">
        <f t="shared" si="0"/>
        <v>Rachel Wonderland</v>
      </c>
      <c r="E21" t="s">
        <v>44</v>
      </c>
      <c r="F21" s="6">
        <v>65000</v>
      </c>
      <c r="G21" s="1" t="s">
        <v>146</v>
      </c>
      <c r="H21" s="1" t="str">
        <f t="shared" si="1"/>
        <v>2023</v>
      </c>
      <c r="I21" s="1">
        <v>34905</v>
      </c>
      <c r="J21" t="s">
        <v>83</v>
      </c>
      <c r="K21" s="7" t="s">
        <v>22</v>
      </c>
      <c r="L21">
        <v>38</v>
      </c>
      <c r="M21">
        <v>3.2</v>
      </c>
    </row>
  </sheetData>
  <autoFilter ref="A1:M21"/>
  <sortState ref="C2:N21">
    <sortCondition ref="C1"/>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O25"/>
  <sheetViews>
    <sheetView tabSelected="1" topLeftCell="A2" zoomScaleNormal="100" workbookViewId="0">
      <selection activeCell="J18" sqref="J18"/>
    </sheetView>
  </sheetViews>
  <sheetFormatPr defaultRowHeight="15" x14ac:dyDescent="0.25"/>
  <cols>
    <col min="1" max="1" width="13.140625" bestFit="1" customWidth="1"/>
    <col min="2" max="2" width="12.85546875" customWidth="1"/>
    <col min="3" max="3" width="16.42578125" customWidth="1"/>
    <col min="4" max="4" width="8" customWidth="1"/>
    <col min="5" max="5" width="9" customWidth="1"/>
    <col min="6" max="6" width="8" customWidth="1"/>
    <col min="7" max="7" width="9" customWidth="1"/>
    <col min="8" max="8" width="8" customWidth="1"/>
    <col min="9" max="9" width="13.140625" customWidth="1"/>
    <col min="10" max="10" width="21" customWidth="1"/>
    <col min="11" max="11" width="18.85546875" customWidth="1"/>
    <col min="12" max="12" width="16.42578125" customWidth="1"/>
    <col min="13" max="13" width="18.85546875" customWidth="1"/>
    <col min="14" max="14" width="21.5703125" customWidth="1"/>
    <col min="15" max="15" width="23.85546875" customWidth="1"/>
    <col min="16" max="16" width="2" customWidth="1"/>
    <col min="17" max="18" width="4" customWidth="1"/>
    <col min="19" max="19" width="2" customWidth="1"/>
    <col min="20" max="20" width="11.28515625" bestFit="1" customWidth="1"/>
  </cols>
  <sheetData>
    <row r="2" spans="1:15" x14ac:dyDescent="0.25">
      <c r="A2" s="8" t="s">
        <v>139</v>
      </c>
      <c r="B2" t="s">
        <v>170</v>
      </c>
    </row>
    <row r="3" spans="1:15" x14ac:dyDescent="0.25">
      <c r="A3" s="9" t="s">
        <v>44</v>
      </c>
      <c r="B3" s="10">
        <v>8</v>
      </c>
      <c r="J3" s="8" t="s">
        <v>154</v>
      </c>
    </row>
    <row r="4" spans="1:15" x14ac:dyDescent="0.25">
      <c r="A4" s="9" t="s">
        <v>18</v>
      </c>
      <c r="B4" s="10">
        <v>4</v>
      </c>
      <c r="J4" t="s">
        <v>158</v>
      </c>
      <c r="L4" t="s">
        <v>159</v>
      </c>
      <c r="N4" t="s">
        <v>155</v>
      </c>
      <c r="O4" t="s">
        <v>156</v>
      </c>
    </row>
    <row r="5" spans="1:15" x14ac:dyDescent="0.25">
      <c r="A5" s="9" t="s">
        <v>49</v>
      </c>
      <c r="B5" s="10">
        <v>3</v>
      </c>
      <c r="I5" s="8" t="s">
        <v>139</v>
      </c>
      <c r="J5" t="s">
        <v>142</v>
      </c>
      <c r="K5" t="s">
        <v>157</v>
      </c>
      <c r="L5" t="s">
        <v>142</v>
      </c>
      <c r="M5" t="s">
        <v>157</v>
      </c>
    </row>
    <row r="6" spans="1:15" x14ac:dyDescent="0.25">
      <c r="A6" s="9" t="s">
        <v>64</v>
      </c>
      <c r="B6" s="10">
        <v>3</v>
      </c>
      <c r="I6" s="9" t="s">
        <v>49</v>
      </c>
      <c r="J6" s="11">
        <v>80000</v>
      </c>
      <c r="K6" s="11">
        <v>2</v>
      </c>
      <c r="L6" s="11">
        <v>85000</v>
      </c>
      <c r="M6" s="11">
        <v>1</v>
      </c>
      <c r="N6" s="11">
        <v>81666.666666666672</v>
      </c>
      <c r="O6" s="11">
        <v>3</v>
      </c>
    </row>
    <row r="7" spans="1:15" x14ac:dyDescent="0.25">
      <c r="A7" s="9" t="s">
        <v>11</v>
      </c>
      <c r="B7" s="10">
        <v>2</v>
      </c>
      <c r="I7" s="9" t="s">
        <v>64</v>
      </c>
      <c r="J7" s="11"/>
      <c r="K7" s="11"/>
      <c r="L7" s="11">
        <v>73888.888888888891</v>
      </c>
      <c r="M7" s="11">
        <v>3</v>
      </c>
      <c r="N7" s="11">
        <v>73888.888888888891</v>
      </c>
      <c r="O7" s="11">
        <v>3</v>
      </c>
    </row>
    <row r="8" spans="1:15" x14ac:dyDescent="0.25">
      <c r="A8" s="9" t="s">
        <v>140</v>
      </c>
      <c r="B8" s="10">
        <v>20</v>
      </c>
      <c r="I8" s="9" t="s">
        <v>18</v>
      </c>
      <c r="J8" s="11"/>
      <c r="K8" s="11"/>
      <c r="L8" s="11">
        <v>88333.333333333328</v>
      </c>
      <c r="M8" s="11">
        <v>4</v>
      </c>
      <c r="N8" s="11">
        <v>88333.333333333328</v>
      </c>
      <c r="O8" s="11">
        <v>4</v>
      </c>
    </row>
    <row r="9" spans="1:15" x14ac:dyDescent="0.25">
      <c r="I9" s="9" t="s">
        <v>44</v>
      </c>
      <c r="J9" s="11"/>
      <c r="K9" s="11"/>
      <c r="L9" s="11">
        <v>65416.666666666664</v>
      </c>
      <c r="M9" s="11">
        <v>8</v>
      </c>
      <c r="N9" s="11">
        <v>65416.666666666664</v>
      </c>
      <c r="O9" s="11">
        <v>8</v>
      </c>
    </row>
    <row r="10" spans="1:15" x14ac:dyDescent="0.25">
      <c r="I10" s="9" t="s">
        <v>11</v>
      </c>
      <c r="J10" s="11"/>
      <c r="K10" s="11"/>
      <c r="L10" s="11">
        <v>61666.666666666664</v>
      </c>
      <c r="M10" s="11">
        <v>2</v>
      </c>
      <c r="N10" s="11">
        <v>61666.666666666664</v>
      </c>
      <c r="O10" s="11">
        <v>2</v>
      </c>
    </row>
    <row r="11" spans="1:15" x14ac:dyDescent="0.25">
      <c r="A11" s="8" t="s">
        <v>139</v>
      </c>
      <c r="B11" t="s">
        <v>141</v>
      </c>
      <c r="C11" t="s">
        <v>142</v>
      </c>
      <c r="I11" s="9" t="s">
        <v>140</v>
      </c>
      <c r="J11" s="11">
        <v>80000</v>
      </c>
      <c r="K11" s="11">
        <v>2</v>
      </c>
      <c r="L11" s="11">
        <v>72592.592592592599</v>
      </c>
      <c r="M11" s="11">
        <v>18</v>
      </c>
      <c r="N11" s="11">
        <v>73333.333333333328</v>
      </c>
      <c r="O11" s="11">
        <v>20</v>
      </c>
    </row>
    <row r="12" spans="1:15" x14ac:dyDescent="0.25">
      <c r="A12" s="9" t="s">
        <v>44</v>
      </c>
      <c r="B12" s="11">
        <v>523333.33333333331</v>
      </c>
      <c r="C12" s="11">
        <v>65416.666666666664</v>
      </c>
    </row>
    <row r="13" spans="1:15" x14ac:dyDescent="0.25">
      <c r="A13" s="9" t="s">
        <v>18</v>
      </c>
      <c r="B13" s="11">
        <v>353333.33333333331</v>
      </c>
      <c r="C13" s="11">
        <v>88333.333333333328</v>
      </c>
    </row>
    <row r="14" spans="1:15" x14ac:dyDescent="0.25">
      <c r="A14" s="9" t="s">
        <v>49</v>
      </c>
      <c r="B14" s="11">
        <v>245000</v>
      </c>
      <c r="C14" s="11">
        <v>81666.666666666672</v>
      </c>
      <c r="I14" s="8" t="s">
        <v>139</v>
      </c>
      <c r="J14" t="s">
        <v>170</v>
      </c>
    </row>
    <row r="15" spans="1:15" x14ac:dyDescent="0.25">
      <c r="A15" s="9" t="s">
        <v>64</v>
      </c>
      <c r="B15" s="11">
        <v>221666.66666666666</v>
      </c>
      <c r="C15" s="11">
        <v>73888.888888888891</v>
      </c>
      <c r="I15" s="9" t="s">
        <v>160</v>
      </c>
      <c r="J15" s="10">
        <v>2</v>
      </c>
    </row>
    <row r="16" spans="1:15" x14ac:dyDescent="0.25">
      <c r="A16" s="9" t="s">
        <v>11</v>
      </c>
      <c r="B16" s="11">
        <v>123333.33333333333</v>
      </c>
      <c r="C16" s="11">
        <v>61666.666666666664</v>
      </c>
      <c r="I16" s="9" t="s">
        <v>161</v>
      </c>
      <c r="J16" s="10">
        <v>2</v>
      </c>
    </row>
    <row r="17" spans="1:10" x14ac:dyDescent="0.25">
      <c r="A17" s="9" t="s">
        <v>140</v>
      </c>
      <c r="B17" s="11">
        <v>1466666.6666666667</v>
      </c>
      <c r="C17" s="11">
        <v>73333.333333333343</v>
      </c>
      <c r="I17" s="9" t="s">
        <v>162</v>
      </c>
      <c r="J17" s="10">
        <v>2</v>
      </c>
    </row>
    <row r="18" spans="1:10" x14ac:dyDescent="0.25">
      <c r="I18" s="9" t="s">
        <v>163</v>
      </c>
      <c r="J18" s="10">
        <v>2</v>
      </c>
    </row>
    <row r="19" spans="1:10" x14ac:dyDescent="0.25">
      <c r="I19" s="9" t="s">
        <v>164</v>
      </c>
      <c r="J19" s="10">
        <v>2</v>
      </c>
    </row>
    <row r="20" spans="1:10" x14ac:dyDescent="0.25">
      <c r="I20" s="9" t="s">
        <v>165</v>
      </c>
      <c r="J20" s="10">
        <v>2</v>
      </c>
    </row>
    <row r="21" spans="1:10" x14ac:dyDescent="0.25">
      <c r="I21" s="9" t="s">
        <v>166</v>
      </c>
      <c r="J21" s="10">
        <v>2</v>
      </c>
    </row>
    <row r="22" spans="1:10" x14ac:dyDescent="0.25">
      <c r="I22" s="9" t="s">
        <v>167</v>
      </c>
      <c r="J22" s="10">
        <v>2</v>
      </c>
    </row>
    <row r="23" spans="1:10" x14ac:dyDescent="0.25">
      <c r="I23" s="9" t="s">
        <v>168</v>
      </c>
      <c r="J23" s="10">
        <v>2</v>
      </c>
    </row>
    <row r="24" spans="1:10" x14ac:dyDescent="0.25">
      <c r="I24" s="9" t="s">
        <v>169</v>
      </c>
      <c r="J24" s="10">
        <v>2</v>
      </c>
    </row>
    <row r="25" spans="1:10" x14ac:dyDescent="0.25">
      <c r="I25" s="9" t="s">
        <v>140</v>
      </c>
      <c r="J25" s="10">
        <v>20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Views>
    <sheetView showGridLines="0" topLeftCell="A2" zoomScaleNormal="100" workbookViewId="0">
      <selection activeCell="L17" sqref="L17"/>
    </sheetView>
  </sheetViews>
  <sheetFormatPr defaultRowHeight="15" x14ac:dyDescent="0.25"/>
  <cols>
    <col min="2" max="3" width="9.140625" customWidth="1"/>
    <col min="7" max="7" width="13.7109375" customWidth="1"/>
    <col min="8" max="8" width="17" customWidth="1"/>
    <col min="9" max="9" width="16.5703125" customWidth="1"/>
    <col min="10" max="10" width="32" customWidth="1"/>
    <col min="12" max="13" width="9.140625" customWidth="1"/>
    <col min="14" max="14" width="7.7109375" customWidth="1"/>
  </cols>
  <sheetData>
    <row r="1" spans="1:10" ht="15" customHeight="1" x14ac:dyDescent="0.25">
      <c r="A1" s="12" t="s">
        <v>171</v>
      </c>
      <c r="B1" s="13"/>
      <c r="C1" s="13"/>
      <c r="D1" s="13"/>
      <c r="E1" s="13"/>
      <c r="F1" s="13"/>
      <c r="G1" s="13"/>
      <c r="H1" s="13"/>
      <c r="I1" s="13"/>
      <c r="J1" s="13"/>
    </row>
    <row r="2" spans="1:10" x14ac:dyDescent="0.25">
      <c r="A2" s="13"/>
      <c r="B2" s="13"/>
      <c r="C2" s="13"/>
      <c r="D2" s="13"/>
      <c r="E2" s="13"/>
      <c r="F2" s="13"/>
      <c r="G2" s="13"/>
      <c r="H2" s="13"/>
      <c r="I2" s="13"/>
      <c r="J2" s="13"/>
    </row>
    <row r="3" spans="1:10" x14ac:dyDescent="0.25">
      <c r="A3" s="13"/>
      <c r="B3" s="13"/>
      <c r="C3" s="13"/>
      <c r="D3" s="13"/>
      <c r="E3" s="13"/>
      <c r="F3" s="13"/>
      <c r="G3" s="13"/>
      <c r="H3" s="13"/>
      <c r="I3" s="13"/>
      <c r="J3" s="13"/>
    </row>
    <row r="4" spans="1:10" x14ac:dyDescent="0.25">
      <c r="A4" s="13"/>
      <c r="B4" s="13"/>
      <c r="C4" s="13"/>
      <c r="D4" s="13"/>
      <c r="E4" s="13"/>
      <c r="F4" s="13"/>
      <c r="G4" s="13"/>
      <c r="H4" s="13"/>
      <c r="I4" s="13"/>
      <c r="J4" s="13"/>
    </row>
    <row r="5" spans="1:10" x14ac:dyDescent="0.25">
      <c r="A5" s="13"/>
      <c r="B5" s="13"/>
      <c r="C5" s="13"/>
      <c r="D5" s="13"/>
      <c r="E5" s="13"/>
      <c r="F5" s="13"/>
      <c r="G5" s="13"/>
      <c r="H5" s="13"/>
      <c r="I5" s="13"/>
      <c r="J5" s="13"/>
    </row>
  </sheetData>
  <mergeCells count="1">
    <mergeCell ref="A1:J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Worksheet</vt:lpstr>
      <vt:lpstr>Pivot Table</vt:lpstr>
      <vt:lpstr>Dashboard</vt:lpstr>
      <vt:lpstr>Worksheet!Main_data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2025-12-17T10:04:48Z</dcterms:created>
  <dcterms:modified xsi:type="dcterms:W3CDTF">2025-12-18T16:07:41Z</dcterms:modified>
</cp:coreProperties>
</file>